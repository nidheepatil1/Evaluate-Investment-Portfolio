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NOVO\Desktop\Portfolio project\"/>
    </mc:Choice>
  </mc:AlternateContent>
  <bookViews>
    <workbookView xWindow="0" yWindow="0" windowWidth="19200" windowHeight="7050"/>
  </bookViews>
  <sheets>
    <sheet name="META" sheetId="1" r:id="rId1"/>
    <sheet name="Apple Visualizations" sheetId="4" r:id="rId2"/>
    <sheet name="Meta Visualizations" sheetId="2" r:id="rId3"/>
    <sheet name="AAPL" sheetId="3" r:id="rId4"/>
  </sheets>
  <externalReferences>
    <externalReference r:id="rId5"/>
  </externalReferences>
  <calcPr calcId="162913"/>
</workbook>
</file>

<file path=xl/calcChain.xml><?xml version="1.0" encoding="utf-8"?>
<calcChain xmlns="http://schemas.openxmlformats.org/spreadsheetml/2006/main">
  <c r="L9" i="1" l="1"/>
  <c r="L6" i="1"/>
  <c r="M6" i="1" s="1"/>
  <c r="I26" i="1" l="1"/>
  <c r="I32" i="1"/>
  <c r="I58" i="1"/>
  <c r="I64" i="1"/>
  <c r="I90" i="1"/>
  <c r="I96" i="1"/>
  <c r="I122" i="1"/>
  <c r="I128" i="1"/>
  <c r="I154" i="1"/>
  <c r="I160" i="1"/>
  <c r="I186" i="1"/>
  <c r="I192" i="1"/>
  <c r="I218" i="1"/>
  <c r="I224" i="1"/>
  <c r="I242" i="1"/>
  <c r="I264" i="1"/>
  <c r="I266" i="1"/>
  <c r="I288" i="1"/>
  <c r="I306" i="1"/>
  <c r="I328" i="1"/>
  <c r="I330" i="1"/>
  <c r="I351" i="1"/>
  <c r="I367" i="1"/>
  <c r="I383" i="1"/>
  <c r="I399" i="1"/>
  <c r="I415" i="1"/>
  <c r="I431" i="1"/>
  <c r="I447" i="1"/>
  <c r="I458" i="1"/>
  <c r="I459" i="1"/>
  <c r="I471" i="1"/>
  <c r="I472" i="1"/>
  <c r="I483" i="1"/>
  <c r="I496" i="1"/>
  <c r="I498" i="1"/>
  <c r="I511" i="1"/>
  <c r="I522" i="1"/>
  <c r="I523" i="1"/>
  <c r="I535" i="1"/>
  <c r="I536" i="1"/>
  <c r="I547" i="1"/>
  <c r="I548" i="1"/>
  <c r="I559" i="1"/>
  <c r="I568" i="1"/>
  <c r="I570" i="1"/>
  <c r="I579" i="1"/>
  <c r="I580" i="1"/>
  <c r="I599" i="1"/>
  <c r="I607" i="1"/>
  <c r="I608" i="1"/>
  <c r="I616" i="1"/>
  <c r="I618" i="1"/>
  <c r="I626" i="1"/>
  <c r="I627" i="1"/>
  <c r="I635" i="1"/>
  <c r="I636" i="1"/>
  <c r="I644" i="1"/>
  <c r="I663" i="1"/>
  <c r="I671" i="1"/>
  <c r="I672" i="1"/>
  <c r="I680" i="1"/>
  <c r="I681" i="1"/>
  <c r="I688" i="1"/>
  <c r="I689" i="1"/>
  <c r="I696" i="1"/>
  <c r="I697" i="1"/>
  <c r="I704" i="1"/>
  <c r="I705" i="1"/>
  <c r="I712" i="1"/>
  <c r="I713" i="1"/>
  <c r="I720" i="1"/>
  <c r="I721" i="1"/>
  <c r="I728" i="1"/>
  <c r="I729" i="1"/>
  <c r="I736" i="1"/>
  <c r="I737" i="1"/>
  <c r="I744" i="1"/>
  <c r="I745" i="1"/>
  <c r="I752" i="1"/>
  <c r="I753" i="1"/>
  <c r="I760" i="1"/>
  <c r="I761" i="1"/>
  <c r="I768" i="1"/>
  <c r="I769" i="1"/>
  <c r="I776" i="1"/>
  <c r="I777" i="1"/>
  <c r="I784" i="1"/>
  <c r="I785" i="1"/>
  <c r="I792" i="1"/>
  <c r="I793" i="1"/>
  <c r="I800" i="1"/>
  <c r="I801" i="1"/>
  <c r="I808" i="1"/>
  <c r="I809" i="1"/>
  <c r="I816" i="1"/>
  <c r="I817" i="1"/>
  <c r="I824" i="1"/>
  <c r="I825" i="1"/>
  <c r="I832" i="1"/>
  <c r="I833" i="1"/>
  <c r="I840" i="1"/>
  <c r="I841" i="1"/>
  <c r="I848" i="1"/>
  <c r="I849" i="1"/>
  <c r="I856" i="1"/>
  <c r="I857" i="1"/>
  <c r="I864" i="1"/>
  <c r="I865" i="1"/>
  <c r="I872" i="1"/>
  <c r="I873" i="1"/>
  <c r="I880" i="1"/>
  <c r="I881" i="1"/>
  <c r="I888" i="1"/>
  <c r="I889" i="1"/>
  <c r="I896" i="1"/>
  <c r="I897" i="1"/>
  <c r="I904" i="1"/>
  <c r="I905" i="1"/>
  <c r="I912" i="1"/>
  <c r="I913" i="1"/>
  <c r="I920" i="1"/>
  <c r="I921" i="1"/>
  <c r="I928" i="1"/>
  <c r="I929" i="1"/>
  <c r="I936" i="1"/>
  <c r="I937" i="1"/>
  <c r="I944" i="1"/>
  <c r="I945" i="1"/>
  <c r="I952" i="1"/>
  <c r="I953" i="1"/>
  <c r="I960" i="1"/>
  <c r="I961" i="1"/>
  <c r="I968" i="1"/>
  <c r="I969" i="1"/>
  <c r="I976" i="1"/>
  <c r="I977" i="1"/>
  <c r="I984" i="1"/>
  <c r="I985" i="1"/>
  <c r="I986" i="1"/>
  <c r="I992" i="1"/>
  <c r="I993" i="1"/>
  <c r="I994" i="1"/>
  <c r="I1000" i="1"/>
  <c r="I1001" i="1"/>
  <c r="I1002" i="1"/>
  <c r="I2" i="1"/>
  <c r="H1006" i="3"/>
  <c r="I1006" i="1" s="1"/>
  <c r="H1005" i="3"/>
  <c r="I1005" i="1" s="1"/>
  <c r="H1004" i="3"/>
  <c r="I1004" i="1" s="1"/>
  <c r="H1003" i="3"/>
  <c r="I1003" i="1" s="1"/>
  <c r="H1002" i="3"/>
  <c r="H1001" i="3"/>
  <c r="H1000" i="3"/>
  <c r="H999" i="3"/>
  <c r="I999" i="1" s="1"/>
  <c r="H998" i="3"/>
  <c r="I998" i="1" s="1"/>
  <c r="H997" i="3"/>
  <c r="I997" i="1" s="1"/>
  <c r="H996" i="3"/>
  <c r="I996" i="1" s="1"/>
  <c r="H995" i="3"/>
  <c r="I995" i="1" s="1"/>
  <c r="H994" i="3"/>
  <c r="H993" i="3"/>
  <c r="H992" i="3"/>
  <c r="H991" i="3"/>
  <c r="I991" i="1" s="1"/>
  <c r="H990" i="3"/>
  <c r="I990" i="1" s="1"/>
  <c r="H989" i="3"/>
  <c r="I989" i="1" s="1"/>
  <c r="H988" i="3"/>
  <c r="I988" i="1" s="1"/>
  <c r="H987" i="3"/>
  <c r="I987" i="1" s="1"/>
  <c r="H986" i="3"/>
  <c r="H985" i="3"/>
  <c r="H984" i="3"/>
  <c r="H983" i="3"/>
  <c r="I983" i="1" s="1"/>
  <c r="H982" i="3"/>
  <c r="I982" i="1" s="1"/>
  <c r="H981" i="3"/>
  <c r="I981" i="1" s="1"/>
  <c r="H980" i="3"/>
  <c r="I980" i="1" s="1"/>
  <c r="H979" i="3"/>
  <c r="I979" i="1" s="1"/>
  <c r="H978" i="3"/>
  <c r="I978" i="1" s="1"/>
  <c r="H977" i="3"/>
  <c r="H976" i="3"/>
  <c r="H975" i="3"/>
  <c r="I975" i="1" s="1"/>
  <c r="H974" i="3"/>
  <c r="I974" i="1" s="1"/>
  <c r="H973" i="3"/>
  <c r="I973" i="1" s="1"/>
  <c r="H972" i="3"/>
  <c r="I972" i="1" s="1"/>
  <c r="H971" i="3"/>
  <c r="I971" i="1" s="1"/>
  <c r="H970" i="3"/>
  <c r="I970" i="1" s="1"/>
  <c r="H969" i="3"/>
  <c r="H968" i="3"/>
  <c r="H967" i="3"/>
  <c r="I967" i="1" s="1"/>
  <c r="H966" i="3"/>
  <c r="I966" i="1" s="1"/>
  <c r="H965" i="3"/>
  <c r="I965" i="1" s="1"/>
  <c r="H964" i="3"/>
  <c r="I964" i="1" s="1"/>
  <c r="H963" i="3"/>
  <c r="I963" i="1" s="1"/>
  <c r="H962" i="3"/>
  <c r="I962" i="1" s="1"/>
  <c r="H961" i="3"/>
  <c r="H960" i="3"/>
  <c r="H959" i="3"/>
  <c r="I959" i="1" s="1"/>
  <c r="H958" i="3"/>
  <c r="I958" i="1" s="1"/>
  <c r="H957" i="3"/>
  <c r="I957" i="1" s="1"/>
  <c r="H956" i="3"/>
  <c r="I956" i="1" s="1"/>
  <c r="H955" i="3"/>
  <c r="I955" i="1" s="1"/>
  <c r="H954" i="3"/>
  <c r="I954" i="1" s="1"/>
  <c r="H953" i="3"/>
  <c r="H952" i="3"/>
  <c r="H951" i="3"/>
  <c r="I951" i="1" s="1"/>
  <c r="H950" i="3"/>
  <c r="I950" i="1" s="1"/>
  <c r="H949" i="3"/>
  <c r="I949" i="1" s="1"/>
  <c r="H948" i="3"/>
  <c r="I948" i="1" s="1"/>
  <c r="H947" i="3"/>
  <c r="I947" i="1" s="1"/>
  <c r="H946" i="3"/>
  <c r="I946" i="1" s="1"/>
  <c r="H945" i="3"/>
  <c r="H944" i="3"/>
  <c r="H943" i="3"/>
  <c r="I943" i="1" s="1"/>
  <c r="H942" i="3"/>
  <c r="I942" i="1" s="1"/>
  <c r="H941" i="3"/>
  <c r="I941" i="1" s="1"/>
  <c r="H940" i="3"/>
  <c r="I940" i="1" s="1"/>
  <c r="H939" i="3"/>
  <c r="I939" i="1" s="1"/>
  <c r="H938" i="3"/>
  <c r="I938" i="1" s="1"/>
  <c r="H937" i="3"/>
  <c r="H936" i="3"/>
  <c r="H935" i="3"/>
  <c r="I935" i="1" s="1"/>
  <c r="H934" i="3"/>
  <c r="I934" i="1" s="1"/>
  <c r="H933" i="3"/>
  <c r="I933" i="1" s="1"/>
  <c r="H932" i="3"/>
  <c r="I932" i="1" s="1"/>
  <c r="H931" i="3"/>
  <c r="I931" i="1" s="1"/>
  <c r="H930" i="3"/>
  <c r="I930" i="1" s="1"/>
  <c r="H929" i="3"/>
  <c r="H928" i="3"/>
  <c r="H927" i="3"/>
  <c r="I927" i="1" s="1"/>
  <c r="H926" i="3"/>
  <c r="I926" i="1" s="1"/>
  <c r="H925" i="3"/>
  <c r="I925" i="1" s="1"/>
  <c r="H924" i="3"/>
  <c r="I924" i="1" s="1"/>
  <c r="H923" i="3"/>
  <c r="I923" i="1" s="1"/>
  <c r="H922" i="3"/>
  <c r="I922" i="1" s="1"/>
  <c r="H921" i="3"/>
  <c r="H920" i="3"/>
  <c r="H919" i="3"/>
  <c r="I919" i="1" s="1"/>
  <c r="H918" i="3"/>
  <c r="I918" i="1" s="1"/>
  <c r="H917" i="3"/>
  <c r="I917" i="1" s="1"/>
  <c r="H916" i="3"/>
  <c r="I916" i="1" s="1"/>
  <c r="H915" i="3"/>
  <c r="I915" i="1" s="1"/>
  <c r="H914" i="3"/>
  <c r="I914" i="1" s="1"/>
  <c r="H913" i="3"/>
  <c r="H912" i="3"/>
  <c r="H911" i="3"/>
  <c r="I911" i="1" s="1"/>
  <c r="H910" i="3"/>
  <c r="I910" i="1" s="1"/>
  <c r="H909" i="3"/>
  <c r="I909" i="1" s="1"/>
  <c r="H908" i="3"/>
  <c r="I908" i="1" s="1"/>
  <c r="H907" i="3"/>
  <c r="I907" i="1" s="1"/>
  <c r="H906" i="3"/>
  <c r="I906" i="1" s="1"/>
  <c r="H905" i="3"/>
  <c r="H904" i="3"/>
  <c r="H903" i="3"/>
  <c r="I903" i="1" s="1"/>
  <c r="H902" i="3"/>
  <c r="I902" i="1" s="1"/>
  <c r="H901" i="3"/>
  <c r="I901" i="1" s="1"/>
  <c r="H900" i="3"/>
  <c r="I900" i="1" s="1"/>
  <c r="H899" i="3"/>
  <c r="I899" i="1" s="1"/>
  <c r="H898" i="3"/>
  <c r="I898" i="1" s="1"/>
  <c r="H897" i="3"/>
  <c r="H896" i="3"/>
  <c r="H895" i="3"/>
  <c r="I895" i="1" s="1"/>
  <c r="H894" i="3"/>
  <c r="I894" i="1" s="1"/>
  <c r="H893" i="3"/>
  <c r="I893" i="1" s="1"/>
  <c r="H892" i="3"/>
  <c r="I892" i="1" s="1"/>
  <c r="H891" i="3"/>
  <c r="I891" i="1" s="1"/>
  <c r="H890" i="3"/>
  <c r="I890" i="1" s="1"/>
  <c r="H889" i="3"/>
  <c r="H888" i="3"/>
  <c r="H887" i="3"/>
  <c r="I887" i="1" s="1"/>
  <c r="H886" i="3"/>
  <c r="I886" i="1" s="1"/>
  <c r="H885" i="3"/>
  <c r="I885" i="1" s="1"/>
  <c r="H884" i="3"/>
  <c r="I884" i="1" s="1"/>
  <c r="H883" i="3"/>
  <c r="I883" i="1" s="1"/>
  <c r="H882" i="3"/>
  <c r="I882" i="1" s="1"/>
  <c r="H881" i="3"/>
  <c r="H880" i="3"/>
  <c r="H879" i="3"/>
  <c r="I879" i="1" s="1"/>
  <c r="H878" i="3"/>
  <c r="I878" i="1" s="1"/>
  <c r="H877" i="3"/>
  <c r="I877" i="1" s="1"/>
  <c r="H876" i="3"/>
  <c r="I876" i="1" s="1"/>
  <c r="H875" i="3"/>
  <c r="I875" i="1" s="1"/>
  <c r="H874" i="3"/>
  <c r="I874" i="1" s="1"/>
  <c r="H873" i="3"/>
  <c r="H872" i="3"/>
  <c r="H871" i="3"/>
  <c r="I871" i="1" s="1"/>
  <c r="H870" i="3"/>
  <c r="I870" i="1" s="1"/>
  <c r="H869" i="3"/>
  <c r="I869" i="1" s="1"/>
  <c r="H868" i="3"/>
  <c r="I868" i="1" s="1"/>
  <c r="H867" i="3"/>
  <c r="I867" i="1" s="1"/>
  <c r="H866" i="3"/>
  <c r="I866" i="1" s="1"/>
  <c r="H865" i="3"/>
  <c r="H864" i="3"/>
  <c r="H863" i="3"/>
  <c r="I863" i="1" s="1"/>
  <c r="H862" i="3"/>
  <c r="I862" i="1" s="1"/>
  <c r="H861" i="3"/>
  <c r="I861" i="1" s="1"/>
  <c r="H860" i="3"/>
  <c r="I860" i="1" s="1"/>
  <c r="H859" i="3"/>
  <c r="I859" i="1" s="1"/>
  <c r="H858" i="3"/>
  <c r="I858" i="1" s="1"/>
  <c r="H857" i="3"/>
  <c r="H856" i="3"/>
  <c r="H855" i="3"/>
  <c r="I855" i="1" s="1"/>
  <c r="H854" i="3"/>
  <c r="I854" i="1" s="1"/>
  <c r="H853" i="3"/>
  <c r="I853" i="1" s="1"/>
  <c r="H852" i="3"/>
  <c r="I852" i="1" s="1"/>
  <c r="H851" i="3"/>
  <c r="I851" i="1" s="1"/>
  <c r="H850" i="3"/>
  <c r="I850" i="1" s="1"/>
  <c r="H849" i="3"/>
  <c r="H848" i="3"/>
  <c r="H847" i="3"/>
  <c r="I847" i="1" s="1"/>
  <c r="H846" i="3"/>
  <c r="I846" i="1" s="1"/>
  <c r="H845" i="3"/>
  <c r="I845" i="1" s="1"/>
  <c r="H844" i="3"/>
  <c r="I844" i="1" s="1"/>
  <c r="H843" i="3"/>
  <c r="I843" i="1" s="1"/>
  <c r="H842" i="3"/>
  <c r="I842" i="1" s="1"/>
  <c r="H841" i="3"/>
  <c r="H840" i="3"/>
  <c r="H839" i="3"/>
  <c r="I839" i="1" s="1"/>
  <c r="H838" i="3"/>
  <c r="I838" i="1" s="1"/>
  <c r="H837" i="3"/>
  <c r="I837" i="1" s="1"/>
  <c r="H836" i="3"/>
  <c r="I836" i="1" s="1"/>
  <c r="H835" i="3"/>
  <c r="I835" i="1" s="1"/>
  <c r="H834" i="3"/>
  <c r="I834" i="1" s="1"/>
  <c r="H833" i="3"/>
  <c r="H832" i="3"/>
  <c r="H831" i="3"/>
  <c r="I831" i="1" s="1"/>
  <c r="H830" i="3"/>
  <c r="I830" i="1" s="1"/>
  <c r="H829" i="3"/>
  <c r="I829" i="1" s="1"/>
  <c r="H828" i="3"/>
  <c r="I828" i="1" s="1"/>
  <c r="H827" i="3"/>
  <c r="I827" i="1" s="1"/>
  <c r="H826" i="3"/>
  <c r="I826" i="1" s="1"/>
  <c r="H825" i="3"/>
  <c r="H824" i="3"/>
  <c r="H823" i="3"/>
  <c r="I823" i="1" s="1"/>
  <c r="H822" i="3"/>
  <c r="I822" i="1" s="1"/>
  <c r="H821" i="3"/>
  <c r="I821" i="1" s="1"/>
  <c r="H820" i="3"/>
  <c r="I820" i="1" s="1"/>
  <c r="H819" i="3"/>
  <c r="I819" i="1" s="1"/>
  <c r="H818" i="3"/>
  <c r="I818" i="1" s="1"/>
  <c r="H817" i="3"/>
  <c r="H816" i="3"/>
  <c r="H815" i="3"/>
  <c r="I815" i="1" s="1"/>
  <c r="H814" i="3"/>
  <c r="I814" i="1" s="1"/>
  <c r="H813" i="3"/>
  <c r="I813" i="1" s="1"/>
  <c r="H812" i="3"/>
  <c r="I812" i="1" s="1"/>
  <c r="H811" i="3"/>
  <c r="I811" i="1" s="1"/>
  <c r="H810" i="3"/>
  <c r="I810" i="1" s="1"/>
  <c r="H809" i="3"/>
  <c r="H808" i="3"/>
  <c r="H807" i="3"/>
  <c r="I807" i="1" s="1"/>
  <c r="H806" i="3"/>
  <c r="I806" i="1" s="1"/>
  <c r="H805" i="3"/>
  <c r="I805" i="1" s="1"/>
  <c r="H804" i="3"/>
  <c r="I804" i="1" s="1"/>
  <c r="H803" i="3"/>
  <c r="I803" i="1" s="1"/>
  <c r="H802" i="3"/>
  <c r="I802" i="1" s="1"/>
  <c r="H801" i="3"/>
  <c r="H800" i="3"/>
  <c r="H799" i="3"/>
  <c r="I799" i="1" s="1"/>
  <c r="H798" i="3"/>
  <c r="I798" i="1" s="1"/>
  <c r="H797" i="3"/>
  <c r="I797" i="1" s="1"/>
  <c r="H796" i="3"/>
  <c r="I796" i="1" s="1"/>
  <c r="H795" i="3"/>
  <c r="I795" i="1" s="1"/>
  <c r="H794" i="3"/>
  <c r="I794" i="1" s="1"/>
  <c r="H793" i="3"/>
  <c r="H792" i="3"/>
  <c r="H791" i="3"/>
  <c r="I791" i="1" s="1"/>
  <c r="H790" i="3"/>
  <c r="I790" i="1" s="1"/>
  <c r="H789" i="3"/>
  <c r="I789" i="1" s="1"/>
  <c r="H788" i="3"/>
  <c r="I788" i="1" s="1"/>
  <c r="H787" i="3"/>
  <c r="I787" i="1" s="1"/>
  <c r="H786" i="3"/>
  <c r="I786" i="1" s="1"/>
  <c r="H785" i="3"/>
  <c r="H784" i="3"/>
  <c r="H783" i="3"/>
  <c r="I783" i="1" s="1"/>
  <c r="H782" i="3"/>
  <c r="I782" i="1" s="1"/>
  <c r="H781" i="3"/>
  <c r="I781" i="1" s="1"/>
  <c r="H780" i="3"/>
  <c r="I780" i="1" s="1"/>
  <c r="H779" i="3"/>
  <c r="I779" i="1" s="1"/>
  <c r="H778" i="3"/>
  <c r="I778" i="1" s="1"/>
  <c r="H777" i="3"/>
  <c r="H776" i="3"/>
  <c r="H775" i="3"/>
  <c r="I775" i="1" s="1"/>
  <c r="H774" i="3"/>
  <c r="I774" i="1" s="1"/>
  <c r="H773" i="3"/>
  <c r="I773" i="1" s="1"/>
  <c r="H772" i="3"/>
  <c r="I772" i="1" s="1"/>
  <c r="H771" i="3"/>
  <c r="I771" i="1" s="1"/>
  <c r="H770" i="3"/>
  <c r="I770" i="1" s="1"/>
  <c r="H769" i="3"/>
  <c r="H768" i="3"/>
  <c r="H767" i="3"/>
  <c r="I767" i="1" s="1"/>
  <c r="H766" i="3"/>
  <c r="I766" i="1" s="1"/>
  <c r="H765" i="3"/>
  <c r="I765" i="1" s="1"/>
  <c r="H764" i="3"/>
  <c r="I764" i="1" s="1"/>
  <c r="H763" i="3"/>
  <c r="I763" i="1" s="1"/>
  <c r="H762" i="3"/>
  <c r="I762" i="1" s="1"/>
  <c r="H761" i="3"/>
  <c r="H760" i="3"/>
  <c r="H759" i="3"/>
  <c r="I759" i="1" s="1"/>
  <c r="H758" i="3"/>
  <c r="I758" i="1" s="1"/>
  <c r="H757" i="3"/>
  <c r="I757" i="1" s="1"/>
  <c r="H756" i="3"/>
  <c r="I756" i="1" s="1"/>
  <c r="H755" i="3"/>
  <c r="I755" i="1" s="1"/>
  <c r="H754" i="3"/>
  <c r="I754" i="1" s="1"/>
  <c r="H753" i="3"/>
  <c r="H752" i="3"/>
  <c r="H751" i="3"/>
  <c r="I751" i="1" s="1"/>
  <c r="H750" i="3"/>
  <c r="I750" i="1" s="1"/>
  <c r="H749" i="3"/>
  <c r="I749" i="1" s="1"/>
  <c r="H748" i="3"/>
  <c r="I748" i="1" s="1"/>
  <c r="H747" i="3"/>
  <c r="I747" i="1" s="1"/>
  <c r="H746" i="3"/>
  <c r="I746" i="1" s="1"/>
  <c r="H745" i="3"/>
  <c r="H744" i="3"/>
  <c r="H743" i="3"/>
  <c r="I743" i="1" s="1"/>
  <c r="H742" i="3"/>
  <c r="I742" i="1" s="1"/>
  <c r="H741" i="3"/>
  <c r="I741" i="1" s="1"/>
  <c r="H740" i="3"/>
  <c r="I740" i="1" s="1"/>
  <c r="H739" i="3"/>
  <c r="I739" i="1" s="1"/>
  <c r="H738" i="3"/>
  <c r="I738" i="1" s="1"/>
  <c r="H737" i="3"/>
  <c r="H736" i="3"/>
  <c r="H735" i="3"/>
  <c r="I735" i="1" s="1"/>
  <c r="H734" i="3"/>
  <c r="I734" i="1" s="1"/>
  <c r="H733" i="3"/>
  <c r="I733" i="1" s="1"/>
  <c r="H732" i="3"/>
  <c r="I732" i="1" s="1"/>
  <c r="H731" i="3"/>
  <c r="I731" i="1" s="1"/>
  <c r="H730" i="3"/>
  <c r="I730" i="1" s="1"/>
  <c r="H729" i="3"/>
  <c r="H728" i="3"/>
  <c r="H727" i="3"/>
  <c r="I727" i="1" s="1"/>
  <c r="H726" i="3"/>
  <c r="I726" i="1" s="1"/>
  <c r="H725" i="3"/>
  <c r="I725" i="1" s="1"/>
  <c r="H724" i="3"/>
  <c r="I724" i="1" s="1"/>
  <c r="H723" i="3"/>
  <c r="I723" i="1" s="1"/>
  <c r="H722" i="3"/>
  <c r="I722" i="1" s="1"/>
  <c r="H721" i="3"/>
  <c r="H720" i="3"/>
  <c r="H719" i="3"/>
  <c r="I719" i="1" s="1"/>
  <c r="H718" i="3"/>
  <c r="I718" i="1" s="1"/>
  <c r="H717" i="3"/>
  <c r="I717" i="1" s="1"/>
  <c r="H716" i="3"/>
  <c r="I716" i="1" s="1"/>
  <c r="H715" i="3"/>
  <c r="I715" i="1" s="1"/>
  <c r="H714" i="3"/>
  <c r="I714" i="1" s="1"/>
  <c r="H713" i="3"/>
  <c r="H712" i="3"/>
  <c r="H711" i="3"/>
  <c r="I711" i="1" s="1"/>
  <c r="H710" i="3"/>
  <c r="I710" i="1" s="1"/>
  <c r="H709" i="3"/>
  <c r="I709" i="1" s="1"/>
  <c r="H708" i="3"/>
  <c r="I708" i="1" s="1"/>
  <c r="H707" i="3"/>
  <c r="I707" i="1" s="1"/>
  <c r="H706" i="3"/>
  <c r="I706" i="1" s="1"/>
  <c r="H705" i="3"/>
  <c r="H704" i="3"/>
  <c r="H703" i="3"/>
  <c r="I703" i="1" s="1"/>
  <c r="H702" i="3"/>
  <c r="I702" i="1" s="1"/>
  <c r="H701" i="3"/>
  <c r="I701" i="1" s="1"/>
  <c r="H700" i="3"/>
  <c r="I700" i="1" s="1"/>
  <c r="H699" i="3"/>
  <c r="I699" i="1" s="1"/>
  <c r="H698" i="3"/>
  <c r="I698" i="1" s="1"/>
  <c r="H697" i="3"/>
  <c r="H696" i="3"/>
  <c r="H695" i="3"/>
  <c r="I695" i="1" s="1"/>
  <c r="H694" i="3"/>
  <c r="I694" i="1" s="1"/>
  <c r="H693" i="3"/>
  <c r="I693" i="1" s="1"/>
  <c r="H692" i="3"/>
  <c r="I692" i="1" s="1"/>
  <c r="H691" i="3"/>
  <c r="I691" i="1" s="1"/>
  <c r="H690" i="3"/>
  <c r="I690" i="1" s="1"/>
  <c r="H689" i="3"/>
  <c r="H688" i="3"/>
  <c r="H687" i="3"/>
  <c r="I687" i="1" s="1"/>
  <c r="H686" i="3"/>
  <c r="I686" i="1" s="1"/>
  <c r="H685" i="3"/>
  <c r="I685" i="1" s="1"/>
  <c r="H684" i="3"/>
  <c r="I684" i="1" s="1"/>
  <c r="H683" i="3"/>
  <c r="I683" i="1" s="1"/>
  <c r="H682" i="3"/>
  <c r="I682" i="1" s="1"/>
  <c r="H681" i="3"/>
  <c r="H680" i="3"/>
  <c r="H679" i="3"/>
  <c r="I679" i="1" s="1"/>
  <c r="H678" i="3"/>
  <c r="I678" i="1" s="1"/>
  <c r="H677" i="3"/>
  <c r="I677" i="1" s="1"/>
  <c r="H676" i="3"/>
  <c r="I676" i="1" s="1"/>
  <c r="H675" i="3"/>
  <c r="I675" i="1" s="1"/>
  <c r="H674" i="3"/>
  <c r="I674" i="1" s="1"/>
  <c r="H673" i="3"/>
  <c r="I673" i="1" s="1"/>
  <c r="H672" i="3"/>
  <c r="H671" i="3"/>
  <c r="H670" i="3"/>
  <c r="I670" i="1" s="1"/>
  <c r="H669" i="3"/>
  <c r="I669" i="1" s="1"/>
  <c r="H668" i="3"/>
  <c r="I668" i="1" s="1"/>
  <c r="H667" i="3"/>
  <c r="I667" i="1" s="1"/>
  <c r="H666" i="3"/>
  <c r="I666" i="1" s="1"/>
  <c r="H665" i="3"/>
  <c r="I665" i="1" s="1"/>
  <c r="H664" i="3"/>
  <c r="I664" i="1" s="1"/>
  <c r="H663" i="3"/>
  <c r="H662" i="3"/>
  <c r="I662" i="1" s="1"/>
  <c r="H661" i="3"/>
  <c r="I661" i="1" s="1"/>
  <c r="H660" i="3"/>
  <c r="I660" i="1" s="1"/>
  <c r="H659" i="3"/>
  <c r="I659" i="1" s="1"/>
  <c r="H658" i="3"/>
  <c r="I658" i="1" s="1"/>
  <c r="H657" i="3"/>
  <c r="I657" i="1" s="1"/>
  <c r="H656" i="3"/>
  <c r="I656" i="1" s="1"/>
  <c r="H655" i="3"/>
  <c r="I655" i="1" s="1"/>
  <c r="H654" i="3"/>
  <c r="I654" i="1" s="1"/>
  <c r="H653" i="3"/>
  <c r="I653" i="1" s="1"/>
  <c r="H652" i="3"/>
  <c r="I652" i="1" s="1"/>
  <c r="H651" i="3"/>
  <c r="I651" i="1" s="1"/>
  <c r="H650" i="3"/>
  <c r="I650" i="1" s="1"/>
  <c r="H649" i="3"/>
  <c r="I649" i="1" s="1"/>
  <c r="H648" i="3"/>
  <c r="I648" i="1" s="1"/>
  <c r="H647" i="3"/>
  <c r="I647" i="1" s="1"/>
  <c r="H646" i="3"/>
  <c r="I646" i="1" s="1"/>
  <c r="H645" i="3"/>
  <c r="I645" i="1" s="1"/>
  <c r="H644" i="3"/>
  <c r="H643" i="3"/>
  <c r="I643" i="1" s="1"/>
  <c r="H642" i="3"/>
  <c r="I642" i="1" s="1"/>
  <c r="H641" i="3"/>
  <c r="I641" i="1" s="1"/>
  <c r="H640" i="3"/>
  <c r="I640" i="1" s="1"/>
  <c r="H639" i="3"/>
  <c r="I639" i="1" s="1"/>
  <c r="H638" i="3"/>
  <c r="I638" i="1" s="1"/>
  <c r="H637" i="3"/>
  <c r="I637" i="1" s="1"/>
  <c r="H636" i="3"/>
  <c r="H635" i="3"/>
  <c r="H634" i="3"/>
  <c r="I634" i="1" s="1"/>
  <c r="H633" i="3"/>
  <c r="I633" i="1" s="1"/>
  <c r="H632" i="3"/>
  <c r="I632" i="1" s="1"/>
  <c r="H631" i="3"/>
  <c r="I631" i="1" s="1"/>
  <c r="H630" i="3"/>
  <c r="I630" i="1" s="1"/>
  <c r="H629" i="3"/>
  <c r="I629" i="1" s="1"/>
  <c r="H628" i="3"/>
  <c r="I628" i="1" s="1"/>
  <c r="H627" i="3"/>
  <c r="H626" i="3"/>
  <c r="H625" i="3"/>
  <c r="I625" i="1" s="1"/>
  <c r="H624" i="3"/>
  <c r="I624" i="1" s="1"/>
  <c r="H623" i="3"/>
  <c r="I623" i="1" s="1"/>
  <c r="H622" i="3"/>
  <c r="I622" i="1" s="1"/>
  <c r="H621" i="3"/>
  <c r="I621" i="1" s="1"/>
  <c r="H620" i="3"/>
  <c r="I620" i="1" s="1"/>
  <c r="H619" i="3"/>
  <c r="I619" i="1" s="1"/>
  <c r="H618" i="3"/>
  <c r="H617" i="3"/>
  <c r="I617" i="1" s="1"/>
  <c r="H616" i="3"/>
  <c r="H615" i="3"/>
  <c r="I615" i="1" s="1"/>
  <c r="H614" i="3"/>
  <c r="I614" i="1" s="1"/>
  <c r="H613" i="3"/>
  <c r="I613" i="1" s="1"/>
  <c r="H612" i="3"/>
  <c r="I612" i="1" s="1"/>
  <c r="H611" i="3"/>
  <c r="I611" i="1" s="1"/>
  <c r="H610" i="3"/>
  <c r="I610" i="1" s="1"/>
  <c r="H609" i="3"/>
  <c r="I609" i="1" s="1"/>
  <c r="H608" i="3"/>
  <c r="H607" i="3"/>
  <c r="H606" i="3"/>
  <c r="I606" i="1" s="1"/>
  <c r="H605" i="3"/>
  <c r="I605" i="1" s="1"/>
  <c r="H604" i="3"/>
  <c r="I604" i="1" s="1"/>
  <c r="H603" i="3"/>
  <c r="I603" i="1" s="1"/>
  <c r="H602" i="3"/>
  <c r="I602" i="1" s="1"/>
  <c r="H601" i="3"/>
  <c r="I601" i="1" s="1"/>
  <c r="H600" i="3"/>
  <c r="I600" i="1" s="1"/>
  <c r="H599" i="3"/>
  <c r="H598" i="3"/>
  <c r="I598" i="1" s="1"/>
  <c r="H597" i="3"/>
  <c r="I597" i="1" s="1"/>
  <c r="H596" i="3"/>
  <c r="I596" i="1" s="1"/>
  <c r="H595" i="3"/>
  <c r="I595" i="1" s="1"/>
  <c r="H594" i="3"/>
  <c r="I594" i="1" s="1"/>
  <c r="H593" i="3"/>
  <c r="I593" i="1" s="1"/>
  <c r="H592" i="3"/>
  <c r="I592" i="1" s="1"/>
  <c r="H591" i="3"/>
  <c r="I591" i="1" s="1"/>
  <c r="H590" i="3"/>
  <c r="I590" i="1" s="1"/>
  <c r="H589" i="3"/>
  <c r="I589" i="1" s="1"/>
  <c r="H588" i="3"/>
  <c r="I588" i="1" s="1"/>
  <c r="H587" i="3"/>
  <c r="I587" i="1" s="1"/>
  <c r="H586" i="3"/>
  <c r="I586" i="1" s="1"/>
  <c r="H585" i="3"/>
  <c r="I585" i="1" s="1"/>
  <c r="H584" i="3"/>
  <c r="I584" i="1" s="1"/>
  <c r="H583" i="3"/>
  <c r="I583" i="1" s="1"/>
  <c r="H582" i="3"/>
  <c r="I582" i="1" s="1"/>
  <c r="H581" i="3"/>
  <c r="I581" i="1" s="1"/>
  <c r="H580" i="3"/>
  <c r="H579" i="3"/>
  <c r="H578" i="3"/>
  <c r="I578" i="1" s="1"/>
  <c r="H577" i="3"/>
  <c r="I577" i="1" s="1"/>
  <c r="H576" i="3"/>
  <c r="I576" i="1" s="1"/>
  <c r="H575" i="3"/>
  <c r="I575" i="1" s="1"/>
  <c r="H574" i="3"/>
  <c r="I574" i="1" s="1"/>
  <c r="H573" i="3"/>
  <c r="I573" i="1" s="1"/>
  <c r="H572" i="3"/>
  <c r="I572" i="1" s="1"/>
  <c r="H571" i="3"/>
  <c r="I571" i="1" s="1"/>
  <c r="H570" i="3"/>
  <c r="H569" i="3"/>
  <c r="I569" i="1" s="1"/>
  <c r="H568" i="3"/>
  <c r="H567" i="3"/>
  <c r="I567" i="1" s="1"/>
  <c r="H566" i="3"/>
  <c r="I566" i="1" s="1"/>
  <c r="H565" i="3"/>
  <c r="I565" i="1" s="1"/>
  <c r="H564" i="3"/>
  <c r="I564" i="1" s="1"/>
  <c r="H563" i="3"/>
  <c r="I563" i="1" s="1"/>
  <c r="H562" i="3"/>
  <c r="I562" i="1" s="1"/>
  <c r="H561" i="3"/>
  <c r="I561" i="1" s="1"/>
  <c r="H560" i="3"/>
  <c r="I560" i="1" s="1"/>
  <c r="H559" i="3"/>
  <c r="H558" i="3"/>
  <c r="I558" i="1" s="1"/>
  <c r="H557" i="3"/>
  <c r="I557" i="1" s="1"/>
  <c r="H556" i="3"/>
  <c r="I556" i="1" s="1"/>
  <c r="H555" i="3"/>
  <c r="I555" i="1" s="1"/>
  <c r="H554" i="3"/>
  <c r="I554" i="1" s="1"/>
  <c r="H553" i="3"/>
  <c r="I553" i="1" s="1"/>
  <c r="H552" i="3"/>
  <c r="I552" i="1" s="1"/>
  <c r="H551" i="3"/>
  <c r="I551" i="1" s="1"/>
  <c r="H550" i="3"/>
  <c r="I550" i="1" s="1"/>
  <c r="H549" i="3"/>
  <c r="I549" i="1" s="1"/>
  <c r="H548" i="3"/>
  <c r="H547" i="3"/>
  <c r="H546" i="3"/>
  <c r="I546" i="1" s="1"/>
  <c r="H545" i="3"/>
  <c r="I545" i="1" s="1"/>
  <c r="H544" i="3"/>
  <c r="I544" i="1" s="1"/>
  <c r="H543" i="3"/>
  <c r="I543" i="1" s="1"/>
  <c r="H542" i="3"/>
  <c r="I542" i="1" s="1"/>
  <c r="H541" i="3"/>
  <c r="I541" i="1" s="1"/>
  <c r="H540" i="3"/>
  <c r="I540" i="1" s="1"/>
  <c r="H539" i="3"/>
  <c r="I539" i="1" s="1"/>
  <c r="H538" i="3"/>
  <c r="I538" i="1" s="1"/>
  <c r="H537" i="3"/>
  <c r="I537" i="1" s="1"/>
  <c r="H536" i="3"/>
  <c r="H535" i="3"/>
  <c r="H534" i="3"/>
  <c r="I534" i="1" s="1"/>
  <c r="H533" i="3"/>
  <c r="I533" i="1" s="1"/>
  <c r="H532" i="3"/>
  <c r="I532" i="1" s="1"/>
  <c r="H531" i="3"/>
  <c r="I531" i="1" s="1"/>
  <c r="H530" i="3"/>
  <c r="I530" i="1" s="1"/>
  <c r="H529" i="3"/>
  <c r="I529" i="1" s="1"/>
  <c r="H528" i="3"/>
  <c r="I528" i="1" s="1"/>
  <c r="H527" i="3"/>
  <c r="I527" i="1" s="1"/>
  <c r="H526" i="3"/>
  <c r="I526" i="1" s="1"/>
  <c r="H525" i="3"/>
  <c r="I525" i="1" s="1"/>
  <c r="H524" i="3"/>
  <c r="I524" i="1" s="1"/>
  <c r="H523" i="3"/>
  <c r="H522" i="3"/>
  <c r="H521" i="3"/>
  <c r="I521" i="1" s="1"/>
  <c r="H520" i="3"/>
  <c r="I520" i="1" s="1"/>
  <c r="H519" i="3"/>
  <c r="I519" i="1" s="1"/>
  <c r="H518" i="3"/>
  <c r="I518" i="1" s="1"/>
  <c r="H517" i="3"/>
  <c r="I517" i="1" s="1"/>
  <c r="H516" i="3"/>
  <c r="I516" i="1" s="1"/>
  <c r="H515" i="3"/>
  <c r="I515" i="1" s="1"/>
  <c r="H514" i="3"/>
  <c r="I514" i="1" s="1"/>
  <c r="H513" i="3"/>
  <c r="I513" i="1" s="1"/>
  <c r="H512" i="3"/>
  <c r="I512" i="1" s="1"/>
  <c r="H511" i="3"/>
  <c r="H510" i="3"/>
  <c r="I510" i="1" s="1"/>
  <c r="H509" i="3"/>
  <c r="I509" i="1" s="1"/>
  <c r="H508" i="3"/>
  <c r="I508" i="1" s="1"/>
  <c r="H507" i="3"/>
  <c r="I507" i="1" s="1"/>
  <c r="H506" i="3"/>
  <c r="I506" i="1" s="1"/>
  <c r="H505" i="3"/>
  <c r="I505" i="1" s="1"/>
  <c r="H504" i="3"/>
  <c r="I504" i="1" s="1"/>
  <c r="H503" i="3"/>
  <c r="I503" i="1" s="1"/>
  <c r="H502" i="3"/>
  <c r="I502" i="1" s="1"/>
  <c r="H501" i="3"/>
  <c r="I501" i="1" s="1"/>
  <c r="H500" i="3"/>
  <c r="I500" i="1" s="1"/>
  <c r="H499" i="3"/>
  <c r="I499" i="1" s="1"/>
  <c r="H498" i="3"/>
  <c r="H497" i="3"/>
  <c r="I497" i="1" s="1"/>
  <c r="H496" i="3"/>
  <c r="H495" i="3"/>
  <c r="I495" i="1" s="1"/>
  <c r="H494" i="3"/>
  <c r="I494" i="1" s="1"/>
  <c r="H493" i="3"/>
  <c r="I493" i="1" s="1"/>
  <c r="H492" i="3"/>
  <c r="I492" i="1" s="1"/>
  <c r="H491" i="3"/>
  <c r="I491" i="1" s="1"/>
  <c r="H490" i="3"/>
  <c r="I490" i="1" s="1"/>
  <c r="H489" i="3"/>
  <c r="I489" i="1" s="1"/>
  <c r="H488" i="3"/>
  <c r="I488" i="1" s="1"/>
  <c r="H487" i="3"/>
  <c r="I487" i="1" s="1"/>
  <c r="H486" i="3"/>
  <c r="I486" i="1" s="1"/>
  <c r="H485" i="3"/>
  <c r="I485" i="1" s="1"/>
  <c r="H484" i="3"/>
  <c r="I484" i="1" s="1"/>
  <c r="H483" i="3"/>
  <c r="H482" i="3"/>
  <c r="I482" i="1" s="1"/>
  <c r="H481" i="3"/>
  <c r="I481" i="1" s="1"/>
  <c r="H480" i="3"/>
  <c r="I480" i="1" s="1"/>
  <c r="H479" i="3"/>
  <c r="I479" i="1" s="1"/>
  <c r="H478" i="3"/>
  <c r="I478" i="1" s="1"/>
  <c r="H477" i="3"/>
  <c r="I477" i="1" s="1"/>
  <c r="H476" i="3"/>
  <c r="I476" i="1" s="1"/>
  <c r="H475" i="3"/>
  <c r="I475" i="1" s="1"/>
  <c r="H474" i="3"/>
  <c r="I474" i="1" s="1"/>
  <c r="H473" i="3"/>
  <c r="I473" i="1" s="1"/>
  <c r="H472" i="3"/>
  <c r="H471" i="3"/>
  <c r="H470" i="3"/>
  <c r="I470" i="1" s="1"/>
  <c r="H469" i="3"/>
  <c r="I469" i="1" s="1"/>
  <c r="H468" i="3"/>
  <c r="I468" i="1" s="1"/>
  <c r="H467" i="3"/>
  <c r="I467" i="1" s="1"/>
  <c r="H466" i="3"/>
  <c r="I466" i="1" s="1"/>
  <c r="H465" i="3"/>
  <c r="I465" i="1" s="1"/>
  <c r="H464" i="3"/>
  <c r="I464" i="1" s="1"/>
  <c r="H463" i="3"/>
  <c r="I463" i="1" s="1"/>
  <c r="H462" i="3"/>
  <c r="I462" i="1" s="1"/>
  <c r="H461" i="3"/>
  <c r="I461" i="1" s="1"/>
  <c r="H460" i="3"/>
  <c r="I460" i="1" s="1"/>
  <c r="H459" i="3"/>
  <c r="H458" i="3"/>
  <c r="H457" i="3"/>
  <c r="I457" i="1" s="1"/>
  <c r="H456" i="3"/>
  <c r="I456" i="1" s="1"/>
  <c r="H455" i="3"/>
  <c r="I455" i="1" s="1"/>
  <c r="H454" i="3"/>
  <c r="I454" i="1" s="1"/>
  <c r="H453" i="3"/>
  <c r="I453" i="1" s="1"/>
  <c r="H452" i="3"/>
  <c r="I452" i="1" s="1"/>
  <c r="H451" i="3"/>
  <c r="I451" i="1" s="1"/>
  <c r="H450" i="3"/>
  <c r="I450" i="1" s="1"/>
  <c r="H449" i="3"/>
  <c r="I449" i="1" s="1"/>
  <c r="H448" i="3"/>
  <c r="I448" i="1" s="1"/>
  <c r="H447" i="3"/>
  <c r="H446" i="3"/>
  <c r="I446" i="1" s="1"/>
  <c r="H445" i="3"/>
  <c r="I445" i="1" s="1"/>
  <c r="H444" i="3"/>
  <c r="I444" i="1" s="1"/>
  <c r="H443" i="3"/>
  <c r="I443" i="1" s="1"/>
  <c r="H442" i="3"/>
  <c r="I442" i="1" s="1"/>
  <c r="H441" i="3"/>
  <c r="I441" i="1" s="1"/>
  <c r="H440" i="3"/>
  <c r="I440" i="1" s="1"/>
  <c r="H439" i="3"/>
  <c r="I439" i="1" s="1"/>
  <c r="H438" i="3"/>
  <c r="I438" i="1" s="1"/>
  <c r="H437" i="3"/>
  <c r="I437" i="1" s="1"/>
  <c r="H436" i="3"/>
  <c r="I436" i="1" s="1"/>
  <c r="H435" i="3"/>
  <c r="I435" i="1" s="1"/>
  <c r="H434" i="3"/>
  <c r="I434" i="1" s="1"/>
  <c r="H433" i="3"/>
  <c r="I433" i="1" s="1"/>
  <c r="H432" i="3"/>
  <c r="I432" i="1" s="1"/>
  <c r="H431" i="3"/>
  <c r="H430" i="3"/>
  <c r="I430" i="1" s="1"/>
  <c r="H429" i="3"/>
  <c r="I429" i="1" s="1"/>
  <c r="H428" i="3"/>
  <c r="I428" i="1" s="1"/>
  <c r="H427" i="3"/>
  <c r="I427" i="1" s="1"/>
  <c r="H426" i="3"/>
  <c r="I426" i="1" s="1"/>
  <c r="H425" i="3"/>
  <c r="I425" i="1" s="1"/>
  <c r="H424" i="3"/>
  <c r="I424" i="1" s="1"/>
  <c r="H423" i="3"/>
  <c r="I423" i="1" s="1"/>
  <c r="H422" i="3"/>
  <c r="I422" i="1" s="1"/>
  <c r="H421" i="3"/>
  <c r="I421" i="1" s="1"/>
  <c r="H420" i="3"/>
  <c r="I420" i="1" s="1"/>
  <c r="H419" i="3"/>
  <c r="I419" i="1" s="1"/>
  <c r="H418" i="3"/>
  <c r="I418" i="1" s="1"/>
  <c r="H417" i="3"/>
  <c r="I417" i="1" s="1"/>
  <c r="H416" i="3"/>
  <c r="I416" i="1" s="1"/>
  <c r="H415" i="3"/>
  <c r="H414" i="3"/>
  <c r="I414" i="1" s="1"/>
  <c r="H413" i="3"/>
  <c r="I413" i="1" s="1"/>
  <c r="H412" i="3"/>
  <c r="I412" i="1" s="1"/>
  <c r="H411" i="3"/>
  <c r="I411" i="1" s="1"/>
  <c r="H410" i="3"/>
  <c r="I410" i="1" s="1"/>
  <c r="H409" i="3"/>
  <c r="I409" i="1" s="1"/>
  <c r="H408" i="3"/>
  <c r="I408" i="1" s="1"/>
  <c r="H407" i="3"/>
  <c r="I407" i="1" s="1"/>
  <c r="H406" i="3"/>
  <c r="I406" i="1" s="1"/>
  <c r="H405" i="3"/>
  <c r="I405" i="1" s="1"/>
  <c r="H404" i="3"/>
  <c r="I404" i="1" s="1"/>
  <c r="H403" i="3"/>
  <c r="I403" i="1" s="1"/>
  <c r="H402" i="3"/>
  <c r="I402" i="1" s="1"/>
  <c r="H401" i="3"/>
  <c r="I401" i="1" s="1"/>
  <c r="H400" i="3"/>
  <c r="I400" i="1" s="1"/>
  <c r="H399" i="3"/>
  <c r="H398" i="3"/>
  <c r="I398" i="1" s="1"/>
  <c r="H397" i="3"/>
  <c r="I397" i="1" s="1"/>
  <c r="H396" i="3"/>
  <c r="I396" i="1" s="1"/>
  <c r="H395" i="3"/>
  <c r="I395" i="1" s="1"/>
  <c r="H394" i="3"/>
  <c r="I394" i="1" s="1"/>
  <c r="H393" i="3"/>
  <c r="I393" i="1" s="1"/>
  <c r="H392" i="3"/>
  <c r="I392" i="1" s="1"/>
  <c r="H391" i="3"/>
  <c r="I391" i="1" s="1"/>
  <c r="H390" i="3"/>
  <c r="I390" i="1" s="1"/>
  <c r="H389" i="3"/>
  <c r="I389" i="1" s="1"/>
  <c r="H388" i="3"/>
  <c r="I388" i="1" s="1"/>
  <c r="H387" i="3"/>
  <c r="I387" i="1" s="1"/>
  <c r="H386" i="3"/>
  <c r="I386" i="1" s="1"/>
  <c r="H385" i="3"/>
  <c r="I385" i="1" s="1"/>
  <c r="H384" i="3"/>
  <c r="I384" i="1" s="1"/>
  <c r="H383" i="3"/>
  <c r="H382" i="3"/>
  <c r="I382" i="1" s="1"/>
  <c r="H381" i="3"/>
  <c r="I381" i="1" s="1"/>
  <c r="H380" i="3"/>
  <c r="I380" i="1" s="1"/>
  <c r="H379" i="3"/>
  <c r="I379" i="1" s="1"/>
  <c r="H378" i="3"/>
  <c r="I378" i="1" s="1"/>
  <c r="H377" i="3"/>
  <c r="I377" i="1" s="1"/>
  <c r="H376" i="3"/>
  <c r="I376" i="1" s="1"/>
  <c r="H375" i="3"/>
  <c r="I375" i="1" s="1"/>
  <c r="H374" i="3"/>
  <c r="I374" i="1" s="1"/>
  <c r="H373" i="3"/>
  <c r="I373" i="1" s="1"/>
  <c r="H372" i="3"/>
  <c r="I372" i="1" s="1"/>
  <c r="H371" i="3"/>
  <c r="I371" i="1" s="1"/>
  <c r="H370" i="3"/>
  <c r="I370" i="1" s="1"/>
  <c r="H369" i="3"/>
  <c r="I369" i="1" s="1"/>
  <c r="H368" i="3"/>
  <c r="I368" i="1" s="1"/>
  <c r="H367" i="3"/>
  <c r="H366" i="3"/>
  <c r="I366" i="1" s="1"/>
  <c r="H365" i="3"/>
  <c r="I365" i="1" s="1"/>
  <c r="H364" i="3"/>
  <c r="I364" i="1" s="1"/>
  <c r="H363" i="3"/>
  <c r="I363" i="1" s="1"/>
  <c r="H362" i="3"/>
  <c r="I362" i="1" s="1"/>
  <c r="H361" i="3"/>
  <c r="I361" i="1" s="1"/>
  <c r="H360" i="3"/>
  <c r="I360" i="1" s="1"/>
  <c r="H359" i="3"/>
  <c r="I359" i="1" s="1"/>
  <c r="H358" i="3"/>
  <c r="I358" i="1" s="1"/>
  <c r="H357" i="3"/>
  <c r="I357" i="1" s="1"/>
  <c r="H356" i="3"/>
  <c r="I356" i="1" s="1"/>
  <c r="H355" i="3"/>
  <c r="I355" i="1" s="1"/>
  <c r="H354" i="3"/>
  <c r="I354" i="1" s="1"/>
  <c r="H353" i="3"/>
  <c r="I353" i="1" s="1"/>
  <c r="H352" i="3"/>
  <c r="I352" i="1" s="1"/>
  <c r="H351" i="3"/>
  <c r="H350" i="3"/>
  <c r="I350" i="1" s="1"/>
  <c r="H349" i="3"/>
  <c r="I349" i="1" s="1"/>
  <c r="H348" i="3"/>
  <c r="I348" i="1" s="1"/>
  <c r="H347" i="3"/>
  <c r="I347" i="1" s="1"/>
  <c r="H346" i="3"/>
  <c r="I346" i="1" s="1"/>
  <c r="H345" i="3"/>
  <c r="I345" i="1" s="1"/>
  <c r="H344" i="3"/>
  <c r="I344" i="1" s="1"/>
  <c r="H343" i="3"/>
  <c r="I343" i="1" s="1"/>
  <c r="H342" i="3"/>
  <c r="I342" i="1" s="1"/>
  <c r="H341" i="3"/>
  <c r="I341" i="1" s="1"/>
  <c r="H340" i="3"/>
  <c r="I340" i="1" s="1"/>
  <c r="H339" i="3"/>
  <c r="I339" i="1" s="1"/>
  <c r="H338" i="3"/>
  <c r="I338" i="1" s="1"/>
  <c r="H337" i="3"/>
  <c r="I337" i="1" s="1"/>
  <c r="H336" i="3"/>
  <c r="I336" i="1" s="1"/>
  <c r="H335" i="3"/>
  <c r="I335" i="1" s="1"/>
  <c r="H334" i="3"/>
  <c r="I334" i="1" s="1"/>
  <c r="H333" i="3"/>
  <c r="I333" i="1" s="1"/>
  <c r="H332" i="3"/>
  <c r="I332" i="1" s="1"/>
  <c r="H331" i="3"/>
  <c r="I331" i="1" s="1"/>
  <c r="H330" i="3"/>
  <c r="H329" i="3"/>
  <c r="I329" i="1" s="1"/>
  <c r="H328" i="3"/>
  <c r="H327" i="3"/>
  <c r="I327" i="1" s="1"/>
  <c r="H326" i="3"/>
  <c r="I326" i="1" s="1"/>
  <c r="H325" i="3"/>
  <c r="I325" i="1" s="1"/>
  <c r="H324" i="3"/>
  <c r="I324" i="1" s="1"/>
  <c r="H323" i="3"/>
  <c r="I323" i="1" s="1"/>
  <c r="H322" i="3"/>
  <c r="I322" i="1" s="1"/>
  <c r="H321" i="3"/>
  <c r="I321" i="1" s="1"/>
  <c r="H320" i="3"/>
  <c r="I320" i="1" s="1"/>
  <c r="H319" i="3"/>
  <c r="I319" i="1" s="1"/>
  <c r="H318" i="3"/>
  <c r="I318" i="1" s="1"/>
  <c r="H317" i="3"/>
  <c r="I317" i="1" s="1"/>
  <c r="H316" i="3"/>
  <c r="I316" i="1" s="1"/>
  <c r="H315" i="3"/>
  <c r="I315" i="1" s="1"/>
  <c r="H314" i="3"/>
  <c r="I314" i="1" s="1"/>
  <c r="H313" i="3"/>
  <c r="I313" i="1" s="1"/>
  <c r="H312" i="3"/>
  <c r="I312" i="1" s="1"/>
  <c r="H311" i="3"/>
  <c r="I311" i="1" s="1"/>
  <c r="H310" i="3"/>
  <c r="I310" i="1" s="1"/>
  <c r="H309" i="3"/>
  <c r="I309" i="1" s="1"/>
  <c r="H308" i="3"/>
  <c r="I308" i="1" s="1"/>
  <c r="H307" i="3"/>
  <c r="I307" i="1" s="1"/>
  <c r="H306" i="3"/>
  <c r="H305" i="3"/>
  <c r="I305" i="1" s="1"/>
  <c r="H304" i="3"/>
  <c r="I304" i="1" s="1"/>
  <c r="H303" i="3"/>
  <c r="I303" i="1" s="1"/>
  <c r="H302" i="3"/>
  <c r="I302" i="1" s="1"/>
  <c r="H301" i="3"/>
  <c r="I301" i="1" s="1"/>
  <c r="H300" i="3"/>
  <c r="I300" i="1" s="1"/>
  <c r="H299" i="3"/>
  <c r="I299" i="1" s="1"/>
  <c r="H298" i="3"/>
  <c r="I298" i="1" s="1"/>
  <c r="H297" i="3"/>
  <c r="I297" i="1" s="1"/>
  <c r="H296" i="3"/>
  <c r="I296" i="1" s="1"/>
  <c r="H295" i="3"/>
  <c r="I295" i="1" s="1"/>
  <c r="H294" i="3"/>
  <c r="I294" i="1" s="1"/>
  <c r="H293" i="3"/>
  <c r="I293" i="1" s="1"/>
  <c r="H292" i="3"/>
  <c r="I292" i="1" s="1"/>
  <c r="H291" i="3"/>
  <c r="I291" i="1" s="1"/>
  <c r="H290" i="3"/>
  <c r="I290" i="1" s="1"/>
  <c r="H289" i="3"/>
  <c r="I289" i="1" s="1"/>
  <c r="H288" i="3"/>
  <c r="H287" i="3"/>
  <c r="I287" i="1" s="1"/>
  <c r="H286" i="3"/>
  <c r="I286" i="1" s="1"/>
  <c r="H285" i="3"/>
  <c r="I285" i="1" s="1"/>
  <c r="H284" i="3"/>
  <c r="I284" i="1" s="1"/>
  <c r="H283" i="3"/>
  <c r="I283" i="1" s="1"/>
  <c r="H282" i="3"/>
  <c r="I282" i="1" s="1"/>
  <c r="H281" i="3"/>
  <c r="I281" i="1" s="1"/>
  <c r="H280" i="3"/>
  <c r="I280" i="1" s="1"/>
  <c r="H279" i="3"/>
  <c r="I279" i="1" s="1"/>
  <c r="H278" i="3"/>
  <c r="I278" i="1" s="1"/>
  <c r="H277" i="3"/>
  <c r="I277" i="1" s="1"/>
  <c r="H276" i="3"/>
  <c r="I276" i="1" s="1"/>
  <c r="H275" i="3"/>
  <c r="I275" i="1" s="1"/>
  <c r="H274" i="3"/>
  <c r="I274" i="1" s="1"/>
  <c r="H273" i="3"/>
  <c r="I273" i="1" s="1"/>
  <c r="H272" i="3"/>
  <c r="I272" i="1" s="1"/>
  <c r="H271" i="3"/>
  <c r="I271" i="1" s="1"/>
  <c r="H270" i="3"/>
  <c r="I270" i="1" s="1"/>
  <c r="H269" i="3"/>
  <c r="I269" i="1" s="1"/>
  <c r="H268" i="3"/>
  <c r="I268" i="1" s="1"/>
  <c r="H267" i="3"/>
  <c r="I267" i="1" s="1"/>
  <c r="H266" i="3"/>
  <c r="H265" i="3"/>
  <c r="I265" i="1" s="1"/>
  <c r="H264" i="3"/>
  <c r="H263" i="3"/>
  <c r="I263" i="1" s="1"/>
  <c r="H262" i="3"/>
  <c r="I262" i="1" s="1"/>
  <c r="H261" i="3"/>
  <c r="I261" i="1" s="1"/>
  <c r="H260" i="3"/>
  <c r="I260" i="1" s="1"/>
  <c r="H259" i="3"/>
  <c r="I259" i="1" s="1"/>
  <c r="H258" i="3"/>
  <c r="I258" i="1" s="1"/>
  <c r="H257" i="3"/>
  <c r="I257" i="1" s="1"/>
  <c r="H256" i="3"/>
  <c r="I256" i="1" s="1"/>
  <c r="H255" i="3"/>
  <c r="I255" i="1" s="1"/>
  <c r="H254" i="3"/>
  <c r="I254" i="1" s="1"/>
  <c r="H253" i="3"/>
  <c r="I253" i="1" s="1"/>
  <c r="H252" i="3"/>
  <c r="I252" i="1" s="1"/>
  <c r="H251" i="3"/>
  <c r="I251" i="1" s="1"/>
  <c r="H250" i="3"/>
  <c r="I250" i="1" s="1"/>
  <c r="H249" i="3"/>
  <c r="I249" i="1" s="1"/>
  <c r="H248" i="3"/>
  <c r="I248" i="1" s="1"/>
  <c r="H247" i="3"/>
  <c r="I247" i="1" s="1"/>
  <c r="H246" i="3"/>
  <c r="I246" i="1" s="1"/>
  <c r="H245" i="3"/>
  <c r="I245" i="1" s="1"/>
  <c r="H244" i="3"/>
  <c r="I244" i="1" s="1"/>
  <c r="H243" i="3"/>
  <c r="I243" i="1" s="1"/>
  <c r="H242" i="3"/>
  <c r="H241" i="3"/>
  <c r="I241" i="1" s="1"/>
  <c r="H240" i="3"/>
  <c r="I240" i="1" s="1"/>
  <c r="H239" i="3"/>
  <c r="I239" i="1" s="1"/>
  <c r="H238" i="3"/>
  <c r="I238" i="1" s="1"/>
  <c r="H237" i="3"/>
  <c r="I237" i="1" s="1"/>
  <c r="H236" i="3"/>
  <c r="I236" i="1" s="1"/>
  <c r="H235" i="3"/>
  <c r="I235" i="1" s="1"/>
  <c r="H234" i="3"/>
  <c r="I234" i="1" s="1"/>
  <c r="H233" i="3"/>
  <c r="I233" i="1" s="1"/>
  <c r="H232" i="3"/>
  <c r="I232" i="1" s="1"/>
  <c r="H231" i="3"/>
  <c r="I231" i="1" s="1"/>
  <c r="H230" i="3"/>
  <c r="I230" i="1" s="1"/>
  <c r="H229" i="3"/>
  <c r="I229" i="1" s="1"/>
  <c r="H228" i="3"/>
  <c r="I228" i="1" s="1"/>
  <c r="H227" i="3"/>
  <c r="I227" i="1" s="1"/>
  <c r="H226" i="3"/>
  <c r="I226" i="1" s="1"/>
  <c r="H225" i="3"/>
  <c r="I225" i="1" s="1"/>
  <c r="H224" i="3"/>
  <c r="H223" i="3"/>
  <c r="I223" i="1" s="1"/>
  <c r="H222" i="3"/>
  <c r="I222" i="1" s="1"/>
  <c r="H221" i="3"/>
  <c r="I221" i="1" s="1"/>
  <c r="H220" i="3"/>
  <c r="I220" i="1" s="1"/>
  <c r="H219" i="3"/>
  <c r="I219" i="1" s="1"/>
  <c r="H218" i="3"/>
  <c r="H217" i="3"/>
  <c r="I217" i="1" s="1"/>
  <c r="H216" i="3"/>
  <c r="I216" i="1" s="1"/>
  <c r="H215" i="3"/>
  <c r="I215" i="1" s="1"/>
  <c r="H214" i="3"/>
  <c r="I214" i="1" s="1"/>
  <c r="H213" i="3"/>
  <c r="I213" i="1" s="1"/>
  <c r="H212" i="3"/>
  <c r="I212" i="1" s="1"/>
  <c r="H211" i="3"/>
  <c r="I211" i="1" s="1"/>
  <c r="H210" i="3"/>
  <c r="I210" i="1" s="1"/>
  <c r="H209" i="3"/>
  <c r="I209" i="1" s="1"/>
  <c r="H208" i="3"/>
  <c r="I208" i="1" s="1"/>
  <c r="H207" i="3"/>
  <c r="I207" i="1" s="1"/>
  <c r="H206" i="3"/>
  <c r="I206" i="1" s="1"/>
  <c r="H205" i="3"/>
  <c r="I205" i="1" s="1"/>
  <c r="H204" i="3"/>
  <c r="I204" i="1" s="1"/>
  <c r="H203" i="3"/>
  <c r="I203" i="1" s="1"/>
  <c r="H202" i="3"/>
  <c r="I202" i="1" s="1"/>
  <c r="H201" i="3"/>
  <c r="I201" i="1" s="1"/>
  <c r="H200" i="3"/>
  <c r="I200" i="1" s="1"/>
  <c r="H199" i="3"/>
  <c r="I199" i="1" s="1"/>
  <c r="H198" i="3"/>
  <c r="I198" i="1" s="1"/>
  <c r="H197" i="3"/>
  <c r="I197" i="1" s="1"/>
  <c r="H196" i="3"/>
  <c r="I196" i="1" s="1"/>
  <c r="H195" i="3"/>
  <c r="I195" i="1" s="1"/>
  <c r="H194" i="3"/>
  <c r="I194" i="1" s="1"/>
  <c r="H193" i="3"/>
  <c r="I193" i="1" s="1"/>
  <c r="H192" i="3"/>
  <c r="H191" i="3"/>
  <c r="I191" i="1" s="1"/>
  <c r="H190" i="3"/>
  <c r="I190" i="1" s="1"/>
  <c r="H189" i="3"/>
  <c r="I189" i="1" s="1"/>
  <c r="H188" i="3"/>
  <c r="I188" i="1" s="1"/>
  <c r="H187" i="3"/>
  <c r="I187" i="1" s="1"/>
  <c r="H186" i="3"/>
  <c r="H185" i="3"/>
  <c r="I185" i="1" s="1"/>
  <c r="H184" i="3"/>
  <c r="I184" i="1" s="1"/>
  <c r="H183" i="3"/>
  <c r="I183" i="1" s="1"/>
  <c r="H182" i="3"/>
  <c r="I182" i="1" s="1"/>
  <c r="H181" i="3"/>
  <c r="I181" i="1" s="1"/>
  <c r="H180" i="3"/>
  <c r="I180" i="1" s="1"/>
  <c r="H179" i="3"/>
  <c r="I179" i="1" s="1"/>
  <c r="H178" i="3"/>
  <c r="I178" i="1" s="1"/>
  <c r="H177" i="3"/>
  <c r="I177" i="1" s="1"/>
  <c r="H176" i="3"/>
  <c r="I176" i="1" s="1"/>
  <c r="H175" i="3"/>
  <c r="I175" i="1" s="1"/>
  <c r="H174" i="3"/>
  <c r="I174" i="1" s="1"/>
  <c r="H173" i="3"/>
  <c r="I173" i="1" s="1"/>
  <c r="H172" i="3"/>
  <c r="I172" i="1" s="1"/>
  <c r="H171" i="3"/>
  <c r="I171" i="1" s="1"/>
  <c r="H170" i="3"/>
  <c r="I170" i="1" s="1"/>
  <c r="H169" i="3"/>
  <c r="I169" i="1" s="1"/>
  <c r="H168" i="3"/>
  <c r="I168" i="1" s="1"/>
  <c r="H167" i="3"/>
  <c r="I167" i="1" s="1"/>
  <c r="H166" i="3"/>
  <c r="I166" i="1" s="1"/>
  <c r="H165" i="3"/>
  <c r="I165" i="1" s="1"/>
  <c r="H164" i="3"/>
  <c r="I164" i="1" s="1"/>
  <c r="H163" i="3"/>
  <c r="I163" i="1" s="1"/>
  <c r="H162" i="3"/>
  <c r="I162" i="1" s="1"/>
  <c r="H161" i="3"/>
  <c r="I161" i="1" s="1"/>
  <c r="H160" i="3"/>
  <c r="H159" i="3"/>
  <c r="I159" i="1" s="1"/>
  <c r="H158" i="3"/>
  <c r="I158" i="1" s="1"/>
  <c r="H157" i="3"/>
  <c r="I157" i="1" s="1"/>
  <c r="H156" i="3"/>
  <c r="I156" i="1" s="1"/>
  <c r="H155" i="3"/>
  <c r="I155" i="1" s="1"/>
  <c r="H154" i="3"/>
  <c r="H153" i="3"/>
  <c r="I153" i="1" s="1"/>
  <c r="H152" i="3"/>
  <c r="I152" i="1" s="1"/>
  <c r="H151" i="3"/>
  <c r="I151" i="1" s="1"/>
  <c r="H150" i="3"/>
  <c r="I150" i="1" s="1"/>
  <c r="H149" i="3"/>
  <c r="I149" i="1" s="1"/>
  <c r="H148" i="3"/>
  <c r="I148" i="1" s="1"/>
  <c r="H147" i="3"/>
  <c r="I147" i="1" s="1"/>
  <c r="H146" i="3"/>
  <c r="I146" i="1" s="1"/>
  <c r="H145" i="3"/>
  <c r="I145" i="1" s="1"/>
  <c r="H144" i="3"/>
  <c r="I144" i="1" s="1"/>
  <c r="H143" i="3"/>
  <c r="I143" i="1" s="1"/>
  <c r="H142" i="3"/>
  <c r="I142" i="1" s="1"/>
  <c r="H141" i="3"/>
  <c r="I141" i="1" s="1"/>
  <c r="H140" i="3"/>
  <c r="I140" i="1" s="1"/>
  <c r="H139" i="3"/>
  <c r="I139" i="1" s="1"/>
  <c r="H138" i="3"/>
  <c r="I138" i="1" s="1"/>
  <c r="H137" i="3"/>
  <c r="I137" i="1" s="1"/>
  <c r="H136" i="3"/>
  <c r="I136" i="1" s="1"/>
  <c r="H135" i="3"/>
  <c r="I135" i="1" s="1"/>
  <c r="H134" i="3"/>
  <c r="I134" i="1" s="1"/>
  <c r="H133" i="3"/>
  <c r="I133" i="1" s="1"/>
  <c r="H132" i="3"/>
  <c r="I132" i="1" s="1"/>
  <c r="H131" i="3"/>
  <c r="I131" i="1" s="1"/>
  <c r="H130" i="3"/>
  <c r="I130" i="1" s="1"/>
  <c r="H129" i="3"/>
  <c r="I129" i="1" s="1"/>
  <c r="H128" i="3"/>
  <c r="H127" i="3"/>
  <c r="I127" i="1" s="1"/>
  <c r="H126" i="3"/>
  <c r="I126" i="1" s="1"/>
  <c r="H125" i="3"/>
  <c r="I125" i="1" s="1"/>
  <c r="H124" i="3"/>
  <c r="I124" i="1" s="1"/>
  <c r="H123" i="3"/>
  <c r="I123" i="1" s="1"/>
  <c r="H122" i="3"/>
  <c r="H121" i="3"/>
  <c r="I121" i="1" s="1"/>
  <c r="H120" i="3"/>
  <c r="I120" i="1" s="1"/>
  <c r="H119" i="3"/>
  <c r="I119" i="1" s="1"/>
  <c r="H118" i="3"/>
  <c r="I118" i="1" s="1"/>
  <c r="H117" i="3"/>
  <c r="I117" i="1" s="1"/>
  <c r="H116" i="3"/>
  <c r="I116" i="1" s="1"/>
  <c r="H115" i="3"/>
  <c r="I115" i="1" s="1"/>
  <c r="H114" i="3"/>
  <c r="I114" i="1" s="1"/>
  <c r="H113" i="3"/>
  <c r="I113" i="1" s="1"/>
  <c r="H112" i="3"/>
  <c r="I112" i="1" s="1"/>
  <c r="H111" i="3"/>
  <c r="I111" i="1" s="1"/>
  <c r="H110" i="3"/>
  <c r="I110" i="1" s="1"/>
  <c r="H109" i="3"/>
  <c r="I109" i="1" s="1"/>
  <c r="H108" i="3"/>
  <c r="I108" i="1" s="1"/>
  <c r="H107" i="3"/>
  <c r="I107" i="1" s="1"/>
  <c r="H106" i="3"/>
  <c r="I106" i="1" s="1"/>
  <c r="H105" i="3"/>
  <c r="I105" i="1" s="1"/>
  <c r="H104" i="3"/>
  <c r="I104" i="1" s="1"/>
  <c r="H103" i="3"/>
  <c r="I103" i="1" s="1"/>
  <c r="H102" i="3"/>
  <c r="I102" i="1" s="1"/>
  <c r="H101" i="3"/>
  <c r="I101" i="1" s="1"/>
  <c r="H100" i="3"/>
  <c r="I100" i="1" s="1"/>
  <c r="H99" i="3"/>
  <c r="I99" i="1" s="1"/>
  <c r="H98" i="3"/>
  <c r="I98" i="1" s="1"/>
  <c r="H97" i="3"/>
  <c r="I97" i="1" s="1"/>
  <c r="H96" i="3"/>
  <c r="H95" i="3"/>
  <c r="I95" i="1" s="1"/>
  <c r="H94" i="3"/>
  <c r="I94" i="1" s="1"/>
  <c r="H93" i="3"/>
  <c r="I93" i="1" s="1"/>
  <c r="H92" i="3"/>
  <c r="I92" i="1" s="1"/>
  <c r="H91" i="3"/>
  <c r="I91" i="1" s="1"/>
  <c r="H90" i="3"/>
  <c r="H89" i="3"/>
  <c r="I89" i="1" s="1"/>
  <c r="H88" i="3"/>
  <c r="I88" i="1" s="1"/>
  <c r="H87" i="3"/>
  <c r="I87" i="1" s="1"/>
  <c r="H86" i="3"/>
  <c r="I86" i="1" s="1"/>
  <c r="H85" i="3"/>
  <c r="I85" i="1" s="1"/>
  <c r="H84" i="3"/>
  <c r="I84" i="1" s="1"/>
  <c r="H83" i="3"/>
  <c r="I83" i="1" s="1"/>
  <c r="H82" i="3"/>
  <c r="I82" i="1" s="1"/>
  <c r="H81" i="3"/>
  <c r="I81" i="1" s="1"/>
  <c r="H80" i="3"/>
  <c r="I80" i="1" s="1"/>
  <c r="H79" i="3"/>
  <c r="I79" i="1" s="1"/>
  <c r="H78" i="3"/>
  <c r="I78" i="1" s="1"/>
  <c r="H77" i="3"/>
  <c r="I77" i="1" s="1"/>
  <c r="H76" i="3"/>
  <c r="I76" i="1" s="1"/>
  <c r="H75" i="3"/>
  <c r="I75" i="1" s="1"/>
  <c r="H74" i="3"/>
  <c r="I74" i="1" s="1"/>
  <c r="H73" i="3"/>
  <c r="I73" i="1" s="1"/>
  <c r="H72" i="3"/>
  <c r="I72" i="1" s="1"/>
  <c r="H71" i="3"/>
  <c r="I71" i="1" s="1"/>
  <c r="H70" i="3"/>
  <c r="I70" i="1" s="1"/>
  <c r="H69" i="3"/>
  <c r="I69" i="1" s="1"/>
  <c r="H68" i="3"/>
  <c r="I68" i="1" s="1"/>
  <c r="H67" i="3"/>
  <c r="I67" i="1" s="1"/>
  <c r="H66" i="3"/>
  <c r="I66" i="1" s="1"/>
  <c r="H65" i="3"/>
  <c r="I65" i="1" s="1"/>
  <c r="H64" i="3"/>
  <c r="H63" i="3"/>
  <c r="I63" i="1" s="1"/>
  <c r="H62" i="3"/>
  <c r="I62" i="1" s="1"/>
  <c r="H61" i="3"/>
  <c r="I61" i="1" s="1"/>
  <c r="H60" i="3"/>
  <c r="I60" i="1" s="1"/>
  <c r="H59" i="3"/>
  <c r="I59" i="1" s="1"/>
  <c r="H58" i="3"/>
  <c r="H57" i="3"/>
  <c r="I57" i="1" s="1"/>
  <c r="H56" i="3"/>
  <c r="I56" i="1" s="1"/>
  <c r="H55" i="3"/>
  <c r="I55" i="1" s="1"/>
  <c r="H54" i="3"/>
  <c r="I54" i="1" s="1"/>
  <c r="H53" i="3"/>
  <c r="I53" i="1" s="1"/>
  <c r="H52" i="3"/>
  <c r="I52" i="1" s="1"/>
  <c r="H51" i="3"/>
  <c r="I51" i="1" s="1"/>
  <c r="H50" i="3"/>
  <c r="I50" i="1" s="1"/>
  <c r="H49" i="3"/>
  <c r="I49" i="1" s="1"/>
  <c r="H48" i="3"/>
  <c r="I48" i="1" s="1"/>
  <c r="H47" i="3"/>
  <c r="I47" i="1" s="1"/>
  <c r="H46" i="3"/>
  <c r="I46" i="1" s="1"/>
  <c r="H45" i="3"/>
  <c r="I45" i="1" s="1"/>
  <c r="H44" i="3"/>
  <c r="I44" i="1" s="1"/>
  <c r="H43" i="3"/>
  <c r="I43" i="1" s="1"/>
  <c r="H42" i="3"/>
  <c r="I42" i="1" s="1"/>
  <c r="H41" i="3"/>
  <c r="I41" i="1" s="1"/>
  <c r="H40" i="3"/>
  <c r="I40" i="1" s="1"/>
  <c r="H39" i="3"/>
  <c r="I39" i="1" s="1"/>
  <c r="H38" i="3"/>
  <c r="I38" i="1" s="1"/>
  <c r="H37" i="3"/>
  <c r="I37" i="1" s="1"/>
  <c r="H36" i="3"/>
  <c r="I36" i="1" s="1"/>
  <c r="H35" i="3"/>
  <c r="I35" i="1" s="1"/>
  <c r="H34" i="3"/>
  <c r="I34" i="1" s="1"/>
  <c r="H33" i="3"/>
  <c r="I33" i="1" s="1"/>
  <c r="H32" i="3"/>
  <c r="H31" i="3"/>
  <c r="I31" i="1" s="1"/>
  <c r="H30" i="3"/>
  <c r="I30" i="1" s="1"/>
  <c r="H29" i="3"/>
  <c r="I29" i="1" s="1"/>
  <c r="H28" i="3"/>
  <c r="I28" i="1" s="1"/>
  <c r="H27" i="3"/>
  <c r="I27" i="1" s="1"/>
  <c r="H26" i="3"/>
  <c r="H25" i="3"/>
  <c r="I25" i="1" s="1"/>
  <c r="H24" i="3"/>
  <c r="I24" i="1" s="1"/>
  <c r="H23" i="3"/>
  <c r="I23" i="1" s="1"/>
  <c r="H22" i="3"/>
  <c r="I22" i="1" s="1"/>
  <c r="H21" i="3"/>
  <c r="I21" i="1" s="1"/>
  <c r="H20" i="3"/>
  <c r="I20" i="1" s="1"/>
  <c r="H19" i="3"/>
  <c r="I19" i="1" s="1"/>
  <c r="H18" i="3"/>
  <c r="I18" i="1" s="1"/>
  <c r="H17" i="3"/>
  <c r="I17" i="1" s="1"/>
  <c r="H16" i="3"/>
  <c r="I16" i="1" s="1"/>
  <c r="H15" i="3"/>
  <c r="I15" i="1" s="1"/>
  <c r="H14" i="3"/>
  <c r="I14" i="1" s="1"/>
  <c r="H13" i="3"/>
  <c r="I13" i="1" s="1"/>
  <c r="H12" i="3"/>
  <c r="I12" i="1" s="1"/>
  <c r="H11" i="3"/>
  <c r="I11" i="1" s="1"/>
  <c r="H10" i="3"/>
  <c r="I10" i="1" s="1"/>
  <c r="H9" i="3"/>
  <c r="I9" i="1" s="1"/>
  <c r="H8" i="3"/>
  <c r="I8" i="1" s="1"/>
  <c r="H7" i="3"/>
  <c r="I7" i="1" s="1"/>
  <c r="H6" i="3"/>
  <c r="I6" i="1" s="1"/>
  <c r="H5" i="3"/>
  <c r="I5" i="1" s="1"/>
  <c r="H4" i="3"/>
  <c r="I4" i="1" s="1"/>
  <c r="H3" i="3"/>
  <c r="I3" i="1" s="1"/>
  <c r="M5" i="1" l="1"/>
  <c r="M4" i="1"/>
  <c r="M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3" i="1"/>
  <c r="L3" i="1" l="1"/>
  <c r="L11" i="1" s="1"/>
  <c r="L4" i="1"/>
  <c r="L10" i="1" s="1"/>
  <c r="L5" i="1"/>
  <c r="L12" i="1" s="1"/>
</calcChain>
</file>

<file path=xl/sharedStrings.xml><?xml version="1.0" encoding="utf-8"?>
<sst xmlns="http://schemas.openxmlformats.org/spreadsheetml/2006/main" count="28" uniqueCount="21">
  <si>
    <t>Date</t>
  </si>
  <si>
    <t>Open</t>
  </si>
  <si>
    <t>High</t>
  </si>
  <si>
    <t>Low</t>
  </si>
  <si>
    <t>Close</t>
  </si>
  <si>
    <t>Adj Close</t>
  </si>
  <si>
    <t>Volume</t>
  </si>
  <si>
    <t>Meta stock return</t>
  </si>
  <si>
    <t>Apple Stock Return</t>
  </si>
  <si>
    <t>Apple stock return</t>
  </si>
  <si>
    <t>META</t>
  </si>
  <si>
    <t>APPLE</t>
  </si>
  <si>
    <t>MEAN</t>
  </si>
  <si>
    <t>STANDARD DEVIATION</t>
  </si>
  <si>
    <t>VARIANCE</t>
  </si>
  <si>
    <t>PORTFOLIO RETURN</t>
  </si>
  <si>
    <t>PORTFOLIO WEIGHTS</t>
  </si>
  <si>
    <t>COVARIANCE</t>
  </si>
  <si>
    <t>CORRELATION</t>
  </si>
  <si>
    <t>PORTFOLIO RISK</t>
  </si>
  <si>
    <t>Adjust weights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</si>
</sst>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%"/>
    <numFmt numFmtId="166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FFFF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14" fontId="0" fillId="0" borderId="0" xfId="0" applyNumberFormat="1"/>
    <xf numFmtId="10" fontId="0" fillId="0" borderId="0" xfId="1" applyNumberFormat="1" applyFont="1"/>
    <xf numFmtId="0" fontId="0" fillId="33" borderId="0" xfId="0" applyFill="1"/>
    <xf numFmtId="0" fontId="18" fillId="34" borderId="15" xfId="0" applyFont="1" applyFill="1" applyBorder="1"/>
    <xf numFmtId="0" fontId="18" fillId="34" borderId="16" xfId="0" applyFont="1" applyFill="1" applyBorder="1"/>
    <xf numFmtId="0" fontId="18" fillId="34" borderId="17" xfId="0" applyFont="1" applyFill="1" applyBorder="1"/>
    <xf numFmtId="0" fontId="18" fillId="34" borderId="13" xfId="0" applyFont="1" applyFill="1" applyBorder="1"/>
    <xf numFmtId="0" fontId="18" fillId="33" borderId="0" xfId="0" applyFont="1" applyFill="1" applyBorder="1"/>
    <xf numFmtId="0" fontId="18" fillId="33" borderId="10" xfId="0" applyFont="1" applyFill="1" applyBorder="1"/>
    <xf numFmtId="166" fontId="18" fillId="33" borderId="0" xfId="0" applyNumberFormat="1" applyFont="1" applyFill="1" applyBorder="1"/>
    <xf numFmtId="166" fontId="18" fillId="33" borderId="10" xfId="0" applyNumberFormat="1" applyFont="1" applyFill="1" applyBorder="1"/>
    <xf numFmtId="164" fontId="18" fillId="33" borderId="0" xfId="0" applyNumberFormat="1" applyFont="1" applyFill="1" applyBorder="1"/>
    <xf numFmtId="165" fontId="18" fillId="33" borderId="0" xfId="1" applyNumberFormat="1" applyFont="1" applyFill="1" applyBorder="1"/>
    <xf numFmtId="0" fontId="18" fillId="34" borderId="14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Portfolio return and risk </a:t>
            </a:r>
          </a:p>
        </c:rich>
      </c:tx>
      <c:layout>
        <c:manualLayout>
          <c:xMode val="edge"/>
          <c:yMode val="edge"/>
          <c:x val="0.37311890839218137"/>
          <c:y val="3.58974294551128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META!$K$11:$K$12</c:f>
              <c:strCache>
                <c:ptCount val="2"/>
                <c:pt idx="0">
                  <c:v>PORTFOLIO RETURN</c:v>
                </c:pt>
                <c:pt idx="1">
                  <c:v>PORTFOLIO RISK</c:v>
                </c:pt>
              </c:strCache>
            </c:strRef>
          </c:cat>
          <c:val>
            <c:numRef>
              <c:f>META!$L$11:$L$12</c:f>
              <c:numCache>
                <c:formatCode>General</c:formatCode>
                <c:ptCount val="2"/>
                <c:pt idx="0" formatCode="0.000%">
                  <c:v>6.0578699780041139E-4</c:v>
                </c:pt>
                <c:pt idx="1">
                  <c:v>5.9431937021130036E-4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C-4E6B-9DFD-832A6668C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50202511"/>
        <c:axId val="850197935"/>
      </c:barChart>
      <c:catAx>
        <c:axId val="850202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197935"/>
        <c:crosses val="autoZero"/>
        <c:auto val="1"/>
        <c:lblAlgn val="ctr"/>
        <c:lblOffset val="100"/>
        <c:noMultiLvlLbl val="0"/>
      </c:catAx>
      <c:valAx>
        <c:axId val="85019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202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Apple Stock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[1]AAPL!$H$1</c:f>
              <c:strCache>
                <c:ptCount val="1"/>
                <c:pt idx="0">
                  <c:v>Stock Return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[1]AAPL!$A$2:$A$1006</c:f>
              <c:numCache>
                <c:formatCode>General</c:formatCode>
                <c:ptCount val="1005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43487</c:v>
                </c:pt>
                <c:pt idx="14">
                  <c:v>43488</c:v>
                </c:pt>
                <c:pt idx="15">
                  <c:v>43489</c:v>
                </c:pt>
                <c:pt idx="16">
                  <c:v>43490</c:v>
                </c:pt>
                <c:pt idx="17">
                  <c:v>43493</c:v>
                </c:pt>
                <c:pt idx="18">
                  <c:v>43494</c:v>
                </c:pt>
                <c:pt idx="19">
                  <c:v>43495</c:v>
                </c:pt>
                <c:pt idx="20">
                  <c:v>43496</c:v>
                </c:pt>
                <c:pt idx="21">
                  <c:v>43497</c:v>
                </c:pt>
                <c:pt idx="22">
                  <c:v>43500</c:v>
                </c:pt>
                <c:pt idx="23">
                  <c:v>43501</c:v>
                </c:pt>
                <c:pt idx="24">
                  <c:v>43502</c:v>
                </c:pt>
                <c:pt idx="25">
                  <c:v>43503</c:v>
                </c:pt>
                <c:pt idx="26">
                  <c:v>43504</c:v>
                </c:pt>
                <c:pt idx="27">
                  <c:v>43507</c:v>
                </c:pt>
                <c:pt idx="28">
                  <c:v>43508</c:v>
                </c:pt>
                <c:pt idx="29">
                  <c:v>43509</c:v>
                </c:pt>
                <c:pt idx="30">
                  <c:v>43510</c:v>
                </c:pt>
                <c:pt idx="31">
                  <c:v>43511</c:v>
                </c:pt>
                <c:pt idx="32">
                  <c:v>43515</c:v>
                </c:pt>
                <c:pt idx="33">
                  <c:v>43516</c:v>
                </c:pt>
                <c:pt idx="34">
                  <c:v>43517</c:v>
                </c:pt>
                <c:pt idx="35">
                  <c:v>43518</c:v>
                </c:pt>
                <c:pt idx="36">
                  <c:v>43521</c:v>
                </c:pt>
                <c:pt idx="37">
                  <c:v>43522</c:v>
                </c:pt>
                <c:pt idx="38">
                  <c:v>43523</c:v>
                </c:pt>
                <c:pt idx="39">
                  <c:v>43524</c:v>
                </c:pt>
                <c:pt idx="40">
                  <c:v>43525</c:v>
                </c:pt>
                <c:pt idx="41">
                  <c:v>43528</c:v>
                </c:pt>
                <c:pt idx="42">
                  <c:v>43529</c:v>
                </c:pt>
                <c:pt idx="43">
                  <c:v>43530</c:v>
                </c:pt>
                <c:pt idx="44">
                  <c:v>43531</c:v>
                </c:pt>
                <c:pt idx="45">
                  <c:v>43532</c:v>
                </c:pt>
                <c:pt idx="46">
                  <c:v>43535</c:v>
                </c:pt>
                <c:pt idx="47">
                  <c:v>43536</c:v>
                </c:pt>
                <c:pt idx="48">
                  <c:v>43537</c:v>
                </c:pt>
                <c:pt idx="49">
                  <c:v>43538</c:v>
                </c:pt>
                <c:pt idx="50">
                  <c:v>43539</c:v>
                </c:pt>
                <c:pt idx="51">
                  <c:v>43542</c:v>
                </c:pt>
                <c:pt idx="52">
                  <c:v>43543</c:v>
                </c:pt>
                <c:pt idx="53">
                  <c:v>43544</c:v>
                </c:pt>
                <c:pt idx="54">
                  <c:v>43545</c:v>
                </c:pt>
                <c:pt idx="55">
                  <c:v>43546</c:v>
                </c:pt>
                <c:pt idx="56">
                  <c:v>43549</c:v>
                </c:pt>
                <c:pt idx="57">
                  <c:v>43550</c:v>
                </c:pt>
                <c:pt idx="58">
                  <c:v>43551</c:v>
                </c:pt>
                <c:pt idx="59">
                  <c:v>43552</c:v>
                </c:pt>
                <c:pt idx="60">
                  <c:v>43553</c:v>
                </c:pt>
                <c:pt idx="61">
                  <c:v>43556</c:v>
                </c:pt>
                <c:pt idx="62">
                  <c:v>43557</c:v>
                </c:pt>
                <c:pt idx="63">
                  <c:v>43558</c:v>
                </c:pt>
                <c:pt idx="64">
                  <c:v>43559</c:v>
                </c:pt>
                <c:pt idx="65">
                  <c:v>43560</c:v>
                </c:pt>
                <c:pt idx="66">
                  <c:v>43563</c:v>
                </c:pt>
                <c:pt idx="67">
                  <c:v>43564</c:v>
                </c:pt>
                <c:pt idx="68">
                  <c:v>43565</c:v>
                </c:pt>
                <c:pt idx="69">
                  <c:v>43566</c:v>
                </c:pt>
                <c:pt idx="70">
                  <c:v>43567</c:v>
                </c:pt>
                <c:pt idx="71">
                  <c:v>43570</c:v>
                </c:pt>
                <c:pt idx="72">
                  <c:v>43571</c:v>
                </c:pt>
                <c:pt idx="73">
                  <c:v>43572</c:v>
                </c:pt>
                <c:pt idx="74">
                  <c:v>43573</c:v>
                </c:pt>
                <c:pt idx="75">
                  <c:v>43577</c:v>
                </c:pt>
                <c:pt idx="76">
                  <c:v>43578</c:v>
                </c:pt>
                <c:pt idx="77">
                  <c:v>43579</c:v>
                </c:pt>
                <c:pt idx="78">
                  <c:v>43580</c:v>
                </c:pt>
                <c:pt idx="79">
                  <c:v>43581</c:v>
                </c:pt>
                <c:pt idx="80">
                  <c:v>43584</c:v>
                </c:pt>
                <c:pt idx="81">
                  <c:v>43585</c:v>
                </c:pt>
                <c:pt idx="82">
                  <c:v>43586</c:v>
                </c:pt>
                <c:pt idx="83">
                  <c:v>43587</c:v>
                </c:pt>
                <c:pt idx="84">
                  <c:v>43588</c:v>
                </c:pt>
                <c:pt idx="85">
                  <c:v>43591</c:v>
                </c:pt>
                <c:pt idx="86">
                  <c:v>43592</c:v>
                </c:pt>
                <c:pt idx="87">
                  <c:v>43593</c:v>
                </c:pt>
                <c:pt idx="88">
                  <c:v>43594</c:v>
                </c:pt>
                <c:pt idx="89">
                  <c:v>43595</c:v>
                </c:pt>
                <c:pt idx="90">
                  <c:v>43598</c:v>
                </c:pt>
                <c:pt idx="91">
                  <c:v>43599</c:v>
                </c:pt>
                <c:pt idx="92">
                  <c:v>43600</c:v>
                </c:pt>
                <c:pt idx="93">
                  <c:v>43601</c:v>
                </c:pt>
                <c:pt idx="94">
                  <c:v>43602</c:v>
                </c:pt>
                <c:pt idx="95">
                  <c:v>43605</c:v>
                </c:pt>
                <c:pt idx="96">
                  <c:v>43606</c:v>
                </c:pt>
                <c:pt idx="97">
                  <c:v>43607</c:v>
                </c:pt>
                <c:pt idx="98">
                  <c:v>43608</c:v>
                </c:pt>
                <c:pt idx="99">
                  <c:v>43609</c:v>
                </c:pt>
                <c:pt idx="100">
                  <c:v>43613</c:v>
                </c:pt>
                <c:pt idx="101">
                  <c:v>43614</c:v>
                </c:pt>
                <c:pt idx="102">
                  <c:v>43615</c:v>
                </c:pt>
                <c:pt idx="103">
                  <c:v>43616</c:v>
                </c:pt>
                <c:pt idx="104">
                  <c:v>43619</c:v>
                </c:pt>
                <c:pt idx="105">
                  <c:v>43620</c:v>
                </c:pt>
                <c:pt idx="106">
                  <c:v>43621</c:v>
                </c:pt>
                <c:pt idx="107">
                  <c:v>43622</c:v>
                </c:pt>
                <c:pt idx="108">
                  <c:v>43623</c:v>
                </c:pt>
                <c:pt idx="109">
                  <c:v>43626</c:v>
                </c:pt>
                <c:pt idx="110">
                  <c:v>43627</c:v>
                </c:pt>
                <c:pt idx="111">
                  <c:v>43628</c:v>
                </c:pt>
                <c:pt idx="112">
                  <c:v>43629</c:v>
                </c:pt>
                <c:pt idx="113">
                  <c:v>43630</c:v>
                </c:pt>
                <c:pt idx="114">
                  <c:v>43633</c:v>
                </c:pt>
                <c:pt idx="115">
                  <c:v>43634</c:v>
                </c:pt>
                <c:pt idx="116">
                  <c:v>43635</c:v>
                </c:pt>
                <c:pt idx="117">
                  <c:v>43636</c:v>
                </c:pt>
                <c:pt idx="118">
                  <c:v>43637</c:v>
                </c:pt>
                <c:pt idx="119">
                  <c:v>43640</c:v>
                </c:pt>
                <c:pt idx="120">
                  <c:v>43641</c:v>
                </c:pt>
                <c:pt idx="121">
                  <c:v>43642</c:v>
                </c:pt>
                <c:pt idx="122">
                  <c:v>43643</c:v>
                </c:pt>
                <c:pt idx="123">
                  <c:v>43644</c:v>
                </c:pt>
                <c:pt idx="124">
                  <c:v>43647</c:v>
                </c:pt>
                <c:pt idx="125">
                  <c:v>43648</c:v>
                </c:pt>
                <c:pt idx="126">
                  <c:v>43649</c:v>
                </c:pt>
                <c:pt idx="127">
                  <c:v>43651</c:v>
                </c:pt>
                <c:pt idx="128">
                  <c:v>43654</c:v>
                </c:pt>
                <c:pt idx="129">
                  <c:v>43655</c:v>
                </c:pt>
                <c:pt idx="130">
                  <c:v>43656</c:v>
                </c:pt>
                <c:pt idx="131">
                  <c:v>43657</c:v>
                </c:pt>
                <c:pt idx="132">
                  <c:v>43658</c:v>
                </c:pt>
                <c:pt idx="133">
                  <c:v>43661</c:v>
                </c:pt>
                <c:pt idx="134">
                  <c:v>43662</c:v>
                </c:pt>
                <c:pt idx="135">
                  <c:v>43663</c:v>
                </c:pt>
                <c:pt idx="136">
                  <c:v>43664</c:v>
                </c:pt>
                <c:pt idx="137">
                  <c:v>43665</c:v>
                </c:pt>
                <c:pt idx="138">
                  <c:v>43668</c:v>
                </c:pt>
                <c:pt idx="139">
                  <c:v>43669</c:v>
                </c:pt>
                <c:pt idx="140">
                  <c:v>43670</c:v>
                </c:pt>
                <c:pt idx="141">
                  <c:v>43671</c:v>
                </c:pt>
                <c:pt idx="142">
                  <c:v>43672</c:v>
                </c:pt>
                <c:pt idx="143">
                  <c:v>43675</c:v>
                </c:pt>
                <c:pt idx="144">
                  <c:v>43676</c:v>
                </c:pt>
                <c:pt idx="145">
                  <c:v>43677</c:v>
                </c:pt>
                <c:pt idx="146">
                  <c:v>43678</c:v>
                </c:pt>
                <c:pt idx="147">
                  <c:v>43679</c:v>
                </c:pt>
                <c:pt idx="148">
                  <c:v>43682</c:v>
                </c:pt>
                <c:pt idx="149">
                  <c:v>43683</c:v>
                </c:pt>
                <c:pt idx="150">
                  <c:v>43684</c:v>
                </c:pt>
                <c:pt idx="151">
                  <c:v>43685</c:v>
                </c:pt>
                <c:pt idx="152">
                  <c:v>43686</c:v>
                </c:pt>
                <c:pt idx="153">
                  <c:v>43689</c:v>
                </c:pt>
                <c:pt idx="154">
                  <c:v>43690</c:v>
                </c:pt>
                <c:pt idx="155">
                  <c:v>43691</c:v>
                </c:pt>
                <c:pt idx="156">
                  <c:v>43692</c:v>
                </c:pt>
                <c:pt idx="157">
                  <c:v>43693</c:v>
                </c:pt>
                <c:pt idx="158">
                  <c:v>43696</c:v>
                </c:pt>
                <c:pt idx="159">
                  <c:v>43697</c:v>
                </c:pt>
                <c:pt idx="160">
                  <c:v>43698</c:v>
                </c:pt>
                <c:pt idx="161">
                  <c:v>43699</c:v>
                </c:pt>
                <c:pt idx="162">
                  <c:v>43700</c:v>
                </c:pt>
                <c:pt idx="163">
                  <c:v>43703</c:v>
                </c:pt>
                <c:pt idx="164">
                  <c:v>43704</c:v>
                </c:pt>
                <c:pt idx="165">
                  <c:v>43705</c:v>
                </c:pt>
                <c:pt idx="166">
                  <c:v>43706</c:v>
                </c:pt>
                <c:pt idx="167">
                  <c:v>43707</c:v>
                </c:pt>
                <c:pt idx="168">
                  <c:v>43711</c:v>
                </c:pt>
                <c:pt idx="169">
                  <c:v>43712</c:v>
                </c:pt>
                <c:pt idx="170">
                  <c:v>43713</c:v>
                </c:pt>
                <c:pt idx="171">
                  <c:v>43714</c:v>
                </c:pt>
                <c:pt idx="172">
                  <c:v>43717</c:v>
                </c:pt>
                <c:pt idx="173">
                  <c:v>43718</c:v>
                </c:pt>
                <c:pt idx="174">
                  <c:v>43719</c:v>
                </c:pt>
                <c:pt idx="175">
                  <c:v>43720</c:v>
                </c:pt>
                <c:pt idx="176">
                  <c:v>43721</c:v>
                </c:pt>
                <c:pt idx="177">
                  <c:v>43724</c:v>
                </c:pt>
                <c:pt idx="178">
                  <c:v>43725</c:v>
                </c:pt>
                <c:pt idx="179">
                  <c:v>43726</c:v>
                </c:pt>
                <c:pt idx="180">
                  <c:v>43727</c:v>
                </c:pt>
                <c:pt idx="181">
                  <c:v>43728</c:v>
                </c:pt>
                <c:pt idx="182">
                  <c:v>43731</c:v>
                </c:pt>
                <c:pt idx="183">
                  <c:v>43732</c:v>
                </c:pt>
                <c:pt idx="184">
                  <c:v>43733</c:v>
                </c:pt>
                <c:pt idx="185">
                  <c:v>43734</c:v>
                </c:pt>
                <c:pt idx="186">
                  <c:v>43735</c:v>
                </c:pt>
                <c:pt idx="187">
                  <c:v>43738</c:v>
                </c:pt>
                <c:pt idx="188">
                  <c:v>43739</c:v>
                </c:pt>
                <c:pt idx="189">
                  <c:v>43740</c:v>
                </c:pt>
                <c:pt idx="190">
                  <c:v>43741</c:v>
                </c:pt>
                <c:pt idx="191">
                  <c:v>43742</c:v>
                </c:pt>
                <c:pt idx="192">
                  <c:v>43745</c:v>
                </c:pt>
                <c:pt idx="193">
                  <c:v>43746</c:v>
                </c:pt>
                <c:pt idx="194">
                  <c:v>43747</c:v>
                </c:pt>
                <c:pt idx="195">
                  <c:v>43748</c:v>
                </c:pt>
                <c:pt idx="196">
                  <c:v>43749</c:v>
                </c:pt>
                <c:pt idx="197">
                  <c:v>43752</c:v>
                </c:pt>
                <c:pt idx="198">
                  <c:v>43753</c:v>
                </c:pt>
                <c:pt idx="199">
                  <c:v>43754</c:v>
                </c:pt>
                <c:pt idx="200">
                  <c:v>43755</c:v>
                </c:pt>
                <c:pt idx="201">
                  <c:v>43756</c:v>
                </c:pt>
                <c:pt idx="202">
                  <c:v>43759</c:v>
                </c:pt>
                <c:pt idx="203">
                  <c:v>43760</c:v>
                </c:pt>
                <c:pt idx="204">
                  <c:v>43761</c:v>
                </c:pt>
                <c:pt idx="205">
                  <c:v>43762</c:v>
                </c:pt>
                <c:pt idx="206">
                  <c:v>43763</c:v>
                </c:pt>
                <c:pt idx="207">
                  <c:v>43766</c:v>
                </c:pt>
                <c:pt idx="208">
                  <c:v>43767</c:v>
                </c:pt>
                <c:pt idx="209">
                  <c:v>43768</c:v>
                </c:pt>
                <c:pt idx="210">
                  <c:v>43769</c:v>
                </c:pt>
                <c:pt idx="211">
                  <c:v>43770</c:v>
                </c:pt>
                <c:pt idx="212">
                  <c:v>43773</c:v>
                </c:pt>
                <c:pt idx="213">
                  <c:v>43774</c:v>
                </c:pt>
                <c:pt idx="214">
                  <c:v>43775</c:v>
                </c:pt>
                <c:pt idx="215">
                  <c:v>43776</c:v>
                </c:pt>
                <c:pt idx="216">
                  <c:v>43777</c:v>
                </c:pt>
                <c:pt idx="217">
                  <c:v>43780</c:v>
                </c:pt>
                <c:pt idx="218">
                  <c:v>43781</c:v>
                </c:pt>
                <c:pt idx="219">
                  <c:v>43782</c:v>
                </c:pt>
                <c:pt idx="220">
                  <c:v>43783</c:v>
                </c:pt>
                <c:pt idx="221">
                  <c:v>43784</c:v>
                </c:pt>
                <c:pt idx="222">
                  <c:v>43787</c:v>
                </c:pt>
                <c:pt idx="223">
                  <c:v>43788</c:v>
                </c:pt>
                <c:pt idx="224">
                  <c:v>43789</c:v>
                </c:pt>
                <c:pt idx="225">
                  <c:v>43790</c:v>
                </c:pt>
                <c:pt idx="226">
                  <c:v>43791</c:v>
                </c:pt>
                <c:pt idx="227">
                  <c:v>43794</c:v>
                </c:pt>
                <c:pt idx="228">
                  <c:v>43795</c:v>
                </c:pt>
                <c:pt idx="229">
                  <c:v>43796</c:v>
                </c:pt>
                <c:pt idx="230">
                  <c:v>43798</c:v>
                </c:pt>
                <c:pt idx="231">
                  <c:v>43801</c:v>
                </c:pt>
                <c:pt idx="232">
                  <c:v>43802</c:v>
                </c:pt>
                <c:pt idx="233">
                  <c:v>43803</c:v>
                </c:pt>
                <c:pt idx="234">
                  <c:v>43804</c:v>
                </c:pt>
                <c:pt idx="235">
                  <c:v>43805</c:v>
                </c:pt>
                <c:pt idx="236">
                  <c:v>43808</c:v>
                </c:pt>
                <c:pt idx="237">
                  <c:v>43809</c:v>
                </c:pt>
                <c:pt idx="238">
                  <c:v>43810</c:v>
                </c:pt>
                <c:pt idx="239">
                  <c:v>43811</c:v>
                </c:pt>
                <c:pt idx="240">
                  <c:v>43812</c:v>
                </c:pt>
                <c:pt idx="241">
                  <c:v>43815</c:v>
                </c:pt>
                <c:pt idx="242">
                  <c:v>43816</c:v>
                </c:pt>
                <c:pt idx="243">
                  <c:v>43817</c:v>
                </c:pt>
                <c:pt idx="244">
                  <c:v>43818</c:v>
                </c:pt>
                <c:pt idx="245">
                  <c:v>43819</c:v>
                </c:pt>
                <c:pt idx="246">
                  <c:v>43822</c:v>
                </c:pt>
                <c:pt idx="247">
                  <c:v>43823</c:v>
                </c:pt>
                <c:pt idx="248">
                  <c:v>43825</c:v>
                </c:pt>
                <c:pt idx="249">
                  <c:v>43826</c:v>
                </c:pt>
                <c:pt idx="250">
                  <c:v>43829</c:v>
                </c:pt>
                <c:pt idx="251">
                  <c:v>43830</c:v>
                </c:pt>
                <c:pt idx="252">
                  <c:v>43832</c:v>
                </c:pt>
                <c:pt idx="253">
                  <c:v>43833</c:v>
                </c:pt>
                <c:pt idx="254">
                  <c:v>43836</c:v>
                </c:pt>
                <c:pt idx="255">
                  <c:v>43837</c:v>
                </c:pt>
                <c:pt idx="256">
                  <c:v>43838</c:v>
                </c:pt>
                <c:pt idx="257">
                  <c:v>43839</c:v>
                </c:pt>
                <c:pt idx="258">
                  <c:v>43840</c:v>
                </c:pt>
                <c:pt idx="259">
                  <c:v>43843</c:v>
                </c:pt>
                <c:pt idx="260">
                  <c:v>43844</c:v>
                </c:pt>
                <c:pt idx="261">
                  <c:v>43845</c:v>
                </c:pt>
                <c:pt idx="262">
                  <c:v>43846</c:v>
                </c:pt>
                <c:pt idx="263">
                  <c:v>43847</c:v>
                </c:pt>
                <c:pt idx="264">
                  <c:v>43851</c:v>
                </c:pt>
                <c:pt idx="265">
                  <c:v>43852</c:v>
                </c:pt>
                <c:pt idx="266">
                  <c:v>43853</c:v>
                </c:pt>
                <c:pt idx="267">
                  <c:v>43854</c:v>
                </c:pt>
                <c:pt idx="268">
                  <c:v>43857</c:v>
                </c:pt>
                <c:pt idx="269">
                  <c:v>43858</c:v>
                </c:pt>
                <c:pt idx="270">
                  <c:v>43859</c:v>
                </c:pt>
                <c:pt idx="271">
                  <c:v>43860</c:v>
                </c:pt>
                <c:pt idx="272">
                  <c:v>43861</c:v>
                </c:pt>
                <c:pt idx="273">
                  <c:v>43864</c:v>
                </c:pt>
                <c:pt idx="274">
                  <c:v>43865</c:v>
                </c:pt>
                <c:pt idx="275">
                  <c:v>43866</c:v>
                </c:pt>
                <c:pt idx="276">
                  <c:v>43867</c:v>
                </c:pt>
                <c:pt idx="277">
                  <c:v>43868</c:v>
                </c:pt>
                <c:pt idx="278">
                  <c:v>43871</c:v>
                </c:pt>
                <c:pt idx="279">
                  <c:v>43872</c:v>
                </c:pt>
                <c:pt idx="280">
                  <c:v>43873</c:v>
                </c:pt>
                <c:pt idx="281">
                  <c:v>43874</c:v>
                </c:pt>
                <c:pt idx="282">
                  <c:v>43875</c:v>
                </c:pt>
                <c:pt idx="283">
                  <c:v>43879</c:v>
                </c:pt>
                <c:pt idx="284">
                  <c:v>43880</c:v>
                </c:pt>
                <c:pt idx="285">
                  <c:v>43881</c:v>
                </c:pt>
                <c:pt idx="286">
                  <c:v>43882</c:v>
                </c:pt>
                <c:pt idx="287">
                  <c:v>43885</c:v>
                </c:pt>
                <c:pt idx="288">
                  <c:v>43886</c:v>
                </c:pt>
                <c:pt idx="289">
                  <c:v>43887</c:v>
                </c:pt>
                <c:pt idx="290">
                  <c:v>43888</c:v>
                </c:pt>
                <c:pt idx="291">
                  <c:v>43889</c:v>
                </c:pt>
                <c:pt idx="292">
                  <c:v>43892</c:v>
                </c:pt>
                <c:pt idx="293">
                  <c:v>43893</c:v>
                </c:pt>
                <c:pt idx="294">
                  <c:v>43894</c:v>
                </c:pt>
                <c:pt idx="295">
                  <c:v>43895</c:v>
                </c:pt>
                <c:pt idx="296">
                  <c:v>43896</c:v>
                </c:pt>
                <c:pt idx="297">
                  <c:v>43899</c:v>
                </c:pt>
                <c:pt idx="298">
                  <c:v>43900</c:v>
                </c:pt>
                <c:pt idx="299">
                  <c:v>43901</c:v>
                </c:pt>
                <c:pt idx="300">
                  <c:v>43902</c:v>
                </c:pt>
                <c:pt idx="301">
                  <c:v>43903</c:v>
                </c:pt>
                <c:pt idx="302">
                  <c:v>43906</c:v>
                </c:pt>
                <c:pt idx="303">
                  <c:v>43907</c:v>
                </c:pt>
                <c:pt idx="304">
                  <c:v>43908</c:v>
                </c:pt>
                <c:pt idx="305">
                  <c:v>43909</c:v>
                </c:pt>
                <c:pt idx="306">
                  <c:v>43910</c:v>
                </c:pt>
                <c:pt idx="307">
                  <c:v>43913</c:v>
                </c:pt>
                <c:pt idx="308">
                  <c:v>43914</c:v>
                </c:pt>
                <c:pt idx="309">
                  <c:v>43915</c:v>
                </c:pt>
                <c:pt idx="310">
                  <c:v>43916</c:v>
                </c:pt>
                <c:pt idx="311">
                  <c:v>43917</c:v>
                </c:pt>
                <c:pt idx="312">
                  <c:v>43920</c:v>
                </c:pt>
                <c:pt idx="313">
                  <c:v>43921</c:v>
                </c:pt>
                <c:pt idx="314">
                  <c:v>43922</c:v>
                </c:pt>
                <c:pt idx="315">
                  <c:v>43923</c:v>
                </c:pt>
                <c:pt idx="316">
                  <c:v>43924</c:v>
                </c:pt>
                <c:pt idx="317">
                  <c:v>43927</c:v>
                </c:pt>
                <c:pt idx="318">
                  <c:v>43928</c:v>
                </c:pt>
                <c:pt idx="319">
                  <c:v>43929</c:v>
                </c:pt>
                <c:pt idx="320">
                  <c:v>43930</c:v>
                </c:pt>
                <c:pt idx="321">
                  <c:v>43934</c:v>
                </c:pt>
                <c:pt idx="322">
                  <c:v>43935</c:v>
                </c:pt>
                <c:pt idx="323">
                  <c:v>43936</c:v>
                </c:pt>
                <c:pt idx="324">
                  <c:v>43937</c:v>
                </c:pt>
                <c:pt idx="325">
                  <c:v>43938</c:v>
                </c:pt>
                <c:pt idx="326">
                  <c:v>43941</c:v>
                </c:pt>
                <c:pt idx="327">
                  <c:v>43942</c:v>
                </c:pt>
                <c:pt idx="328">
                  <c:v>43943</c:v>
                </c:pt>
                <c:pt idx="329">
                  <c:v>43944</c:v>
                </c:pt>
                <c:pt idx="330">
                  <c:v>43945</c:v>
                </c:pt>
                <c:pt idx="331">
                  <c:v>43948</c:v>
                </c:pt>
                <c:pt idx="332">
                  <c:v>43949</c:v>
                </c:pt>
                <c:pt idx="333">
                  <c:v>43950</c:v>
                </c:pt>
                <c:pt idx="334">
                  <c:v>43951</c:v>
                </c:pt>
                <c:pt idx="335">
                  <c:v>43952</c:v>
                </c:pt>
                <c:pt idx="336">
                  <c:v>43955</c:v>
                </c:pt>
                <c:pt idx="337">
                  <c:v>43956</c:v>
                </c:pt>
                <c:pt idx="338">
                  <c:v>43957</c:v>
                </c:pt>
                <c:pt idx="339">
                  <c:v>43958</c:v>
                </c:pt>
                <c:pt idx="340">
                  <c:v>43959</c:v>
                </c:pt>
                <c:pt idx="341">
                  <c:v>43962</c:v>
                </c:pt>
                <c:pt idx="342">
                  <c:v>43963</c:v>
                </c:pt>
                <c:pt idx="343">
                  <c:v>43964</c:v>
                </c:pt>
                <c:pt idx="344">
                  <c:v>43965</c:v>
                </c:pt>
                <c:pt idx="345">
                  <c:v>43966</c:v>
                </c:pt>
                <c:pt idx="346">
                  <c:v>43969</c:v>
                </c:pt>
                <c:pt idx="347">
                  <c:v>43970</c:v>
                </c:pt>
                <c:pt idx="348">
                  <c:v>43971</c:v>
                </c:pt>
                <c:pt idx="349">
                  <c:v>43972</c:v>
                </c:pt>
                <c:pt idx="350">
                  <c:v>43973</c:v>
                </c:pt>
                <c:pt idx="351">
                  <c:v>43977</c:v>
                </c:pt>
                <c:pt idx="352">
                  <c:v>43978</c:v>
                </c:pt>
                <c:pt idx="353">
                  <c:v>43979</c:v>
                </c:pt>
                <c:pt idx="354">
                  <c:v>43980</c:v>
                </c:pt>
                <c:pt idx="355">
                  <c:v>43983</c:v>
                </c:pt>
                <c:pt idx="356">
                  <c:v>43984</c:v>
                </c:pt>
                <c:pt idx="357">
                  <c:v>43985</c:v>
                </c:pt>
                <c:pt idx="358">
                  <c:v>43986</c:v>
                </c:pt>
                <c:pt idx="359">
                  <c:v>43987</c:v>
                </c:pt>
                <c:pt idx="360">
                  <c:v>43990</c:v>
                </c:pt>
                <c:pt idx="361">
                  <c:v>43991</c:v>
                </c:pt>
                <c:pt idx="362">
                  <c:v>43992</c:v>
                </c:pt>
                <c:pt idx="363">
                  <c:v>43993</c:v>
                </c:pt>
                <c:pt idx="364">
                  <c:v>43994</c:v>
                </c:pt>
                <c:pt idx="365">
                  <c:v>43997</c:v>
                </c:pt>
                <c:pt idx="366">
                  <c:v>43998</c:v>
                </c:pt>
                <c:pt idx="367">
                  <c:v>43999</c:v>
                </c:pt>
                <c:pt idx="368">
                  <c:v>44000</c:v>
                </c:pt>
                <c:pt idx="369">
                  <c:v>44001</c:v>
                </c:pt>
                <c:pt idx="370">
                  <c:v>44004</c:v>
                </c:pt>
                <c:pt idx="371">
                  <c:v>44005</c:v>
                </c:pt>
                <c:pt idx="372">
                  <c:v>44006</c:v>
                </c:pt>
                <c:pt idx="373">
                  <c:v>44007</c:v>
                </c:pt>
                <c:pt idx="374">
                  <c:v>44008</c:v>
                </c:pt>
                <c:pt idx="375">
                  <c:v>44011</c:v>
                </c:pt>
                <c:pt idx="376">
                  <c:v>44012</c:v>
                </c:pt>
                <c:pt idx="377">
                  <c:v>44013</c:v>
                </c:pt>
                <c:pt idx="378">
                  <c:v>44014</c:v>
                </c:pt>
                <c:pt idx="379">
                  <c:v>44018</c:v>
                </c:pt>
                <c:pt idx="380">
                  <c:v>44019</c:v>
                </c:pt>
                <c:pt idx="381">
                  <c:v>44020</c:v>
                </c:pt>
                <c:pt idx="382">
                  <c:v>44021</c:v>
                </c:pt>
                <c:pt idx="383">
                  <c:v>44022</c:v>
                </c:pt>
                <c:pt idx="384">
                  <c:v>44025</c:v>
                </c:pt>
                <c:pt idx="385">
                  <c:v>44026</c:v>
                </c:pt>
                <c:pt idx="386">
                  <c:v>44027</c:v>
                </c:pt>
                <c:pt idx="387">
                  <c:v>44028</c:v>
                </c:pt>
                <c:pt idx="388">
                  <c:v>44029</c:v>
                </c:pt>
                <c:pt idx="389">
                  <c:v>44032</c:v>
                </c:pt>
                <c:pt idx="390">
                  <c:v>44033</c:v>
                </c:pt>
                <c:pt idx="391">
                  <c:v>44034</c:v>
                </c:pt>
                <c:pt idx="392">
                  <c:v>44035</c:v>
                </c:pt>
                <c:pt idx="393">
                  <c:v>44036</c:v>
                </c:pt>
                <c:pt idx="394">
                  <c:v>44039</c:v>
                </c:pt>
                <c:pt idx="395">
                  <c:v>44040</c:v>
                </c:pt>
                <c:pt idx="396">
                  <c:v>44041</c:v>
                </c:pt>
                <c:pt idx="397">
                  <c:v>44042</c:v>
                </c:pt>
                <c:pt idx="398">
                  <c:v>44043</c:v>
                </c:pt>
                <c:pt idx="399">
                  <c:v>44046</c:v>
                </c:pt>
                <c:pt idx="400">
                  <c:v>44047</c:v>
                </c:pt>
                <c:pt idx="401">
                  <c:v>44048</c:v>
                </c:pt>
                <c:pt idx="402">
                  <c:v>44049</c:v>
                </c:pt>
                <c:pt idx="403">
                  <c:v>44050</c:v>
                </c:pt>
                <c:pt idx="404">
                  <c:v>44053</c:v>
                </c:pt>
                <c:pt idx="405">
                  <c:v>44054</c:v>
                </c:pt>
                <c:pt idx="406">
                  <c:v>44055</c:v>
                </c:pt>
                <c:pt idx="407">
                  <c:v>44056</c:v>
                </c:pt>
                <c:pt idx="408">
                  <c:v>44057</c:v>
                </c:pt>
                <c:pt idx="409">
                  <c:v>44060</c:v>
                </c:pt>
                <c:pt idx="410">
                  <c:v>44061</c:v>
                </c:pt>
                <c:pt idx="411">
                  <c:v>44062</c:v>
                </c:pt>
                <c:pt idx="412">
                  <c:v>44063</c:v>
                </c:pt>
                <c:pt idx="413">
                  <c:v>44064</c:v>
                </c:pt>
                <c:pt idx="414">
                  <c:v>44067</c:v>
                </c:pt>
                <c:pt idx="415">
                  <c:v>44068</c:v>
                </c:pt>
                <c:pt idx="416">
                  <c:v>44069</c:v>
                </c:pt>
                <c:pt idx="417">
                  <c:v>44070</c:v>
                </c:pt>
                <c:pt idx="418">
                  <c:v>44071</c:v>
                </c:pt>
                <c:pt idx="419">
                  <c:v>44074</c:v>
                </c:pt>
                <c:pt idx="420">
                  <c:v>44075</c:v>
                </c:pt>
                <c:pt idx="421">
                  <c:v>44076</c:v>
                </c:pt>
                <c:pt idx="422">
                  <c:v>44077</c:v>
                </c:pt>
                <c:pt idx="423">
                  <c:v>44078</c:v>
                </c:pt>
                <c:pt idx="424">
                  <c:v>44082</c:v>
                </c:pt>
                <c:pt idx="425">
                  <c:v>44083</c:v>
                </c:pt>
                <c:pt idx="426">
                  <c:v>44084</c:v>
                </c:pt>
                <c:pt idx="427">
                  <c:v>44085</c:v>
                </c:pt>
                <c:pt idx="428">
                  <c:v>44088</c:v>
                </c:pt>
                <c:pt idx="429">
                  <c:v>44089</c:v>
                </c:pt>
                <c:pt idx="430">
                  <c:v>44090</c:v>
                </c:pt>
                <c:pt idx="431">
                  <c:v>44091</c:v>
                </c:pt>
                <c:pt idx="432">
                  <c:v>44092</c:v>
                </c:pt>
                <c:pt idx="433">
                  <c:v>44095</c:v>
                </c:pt>
                <c:pt idx="434">
                  <c:v>44096</c:v>
                </c:pt>
                <c:pt idx="435">
                  <c:v>44097</c:v>
                </c:pt>
                <c:pt idx="436">
                  <c:v>44098</c:v>
                </c:pt>
                <c:pt idx="437">
                  <c:v>44099</c:v>
                </c:pt>
                <c:pt idx="438">
                  <c:v>44102</c:v>
                </c:pt>
                <c:pt idx="439">
                  <c:v>44103</c:v>
                </c:pt>
                <c:pt idx="440">
                  <c:v>44104</c:v>
                </c:pt>
                <c:pt idx="441">
                  <c:v>44105</c:v>
                </c:pt>
                <c:pt idx="442">
                  <c:v>44106</c:v>
                </c:pt>
                <c:pt idx="443">
                  <c:v>44109</c:v>
                </c:pt>
                <c:pt idx="444">
                  <c:v>44110</c:v>
                </c:pt>
                <c:pt idx="445">
                  <c:v>44111</c:v>
                </c:pt>
                <c:pt idx="446">
                  <c:v>44112</c:v>
                </c:pt>
                <c:pt idx="447">
                  <c:v>44113</c:v>
                </c:pt>
                <c:pt idx="448">
                  <c:v>44116</c:v>
                </c:pt>
                <c:pt idx="449">
                  <c:v>44117</c:v>
                </c:pt>
                <c:pt idx="450">
                  <c:v>44118</c:v>
                </c:pt>
                <c:pt idx="451">
                  <c:v>44119</c:v>
                </c:pt>
                <c:pt idx="452">
                  <c:v>44120</c:v>
                </c:pt>
                <c:pt idx="453">
                  <c:v>44123</c:v>
                </c:pt>
                <c:pt idx="454">
                  <c:v>44124</c:v>
                </c:pt>
                <c:pt idx="455">
                  <c:v>44125</c:v>
                </c:pt>
                <c:pt idx="456">
                  <c:v>44126</c:v>
                </c:pt>
                <c:pt idx="457">
                  <c:v>44127</c:v>
                </c:pt>
                <c:pt idx="458">
                  <c:v>44130</c:v>
                </c:pt>
                <c:pt idx="459">
                  <c:v>44131</c:v>
                </c:pt>
                <c:pt idx="460">
                  <c:v>44132</c:v>
                </c:pt>
                <c:pt idx="461">
                  <c:v>44133</c:v>
                </c:pt>
                <c:pt idx="462">
                  <c:v>44134</c:v>
                </c:pt>
                <c:pt idx="463">
                  <c:v>44137</c:v>
                </c:pt>
                <c:pt idx="464">
                  <c:v>44138</c:v>
                </c:pt>
                <c:pt idx="465">
                  <c:v>44139</c:v>
                </c:pt>
                <c:pt idx="466">
                  <c:v>44140</c:v>
                </c:pt>
                <c:pt idx="467">
                  <c:v>44141</c:v>
                </c:pt>
                <c:pt idx="468">
                  <c:v>44144</c:v>
                </c:pt>
                <c:pt idx="469">
                  <c:v>44145</c:v>
                </c:pt>
                <c:pt idx="470">
                  <c:v>44146</c:v>
                </c:pt>
                <c:pt idx="471">
                  <c:v>44147</c:v>
                </c:pt>
                <c:pt idx="472">
                  <c:v>44148</c:v>
                </c:pt>
                <c:pt idx="473">
                  <c:v>44151</c:v>
                </c:pt>
                <c:pt idx="474">
                  <c:v>44152</c:v>
                </c:pt>
                <c:pt idx="475">
                  <c:v>44153</c:v>
                </c:pt>
                <c:pt idx="476">
                  <c:v>44154</c:v>
                </c:pt>
                <c:pt idx="477">
                  <c:v>44155</c:v>
                </c:pt>
                <c:pt idx="478">
                  <c:v>44158</c:v>
                </c:pt>
                <c:pt idx="479">
                  <c:v>44159</c:v>
                </c:pt>
                <c:pt idx="480">
                  <c:v>44160</c:v>
                </c:pt>
                <c:pt idx="481">
                  <c:v>44162</c:v>
                </c:pt>
                <c:pt idx="482">
                  <c:v>44165</c:v>
                </c:pt>
                <c:pt idx="483">
                  <c:v>44166</c:v>
                </c:pt>
                <c:pt idx="484">
                  <c:v>44167</c:v>
                </c:pt>
                <c:pt idx="485">
                  <c:v>44168</c:v>
                </c:pt>
                <c:pt idx="486">
                  <c:v>44169</c:v>
                </c:pt>
                <c:pt idx="487">
                  <c:v>44172</c:v>
                </c:pt>
                <c:pt idx="488">
                  <c:v>44173</c:v>
                </c:pt>
                <c:pt idx="489">
                  <c:v>44174</c:v>
                </c:pt>
                <c:pt idx="490">
                  <c:v>44175</c:v>
                </c:pt>
                <c:pt idx="491">
                  <c:v>44176</c:v>
                </c:pt>
                <c:pt idx="492">
                  <c:v>44179</c:v>
                </c:pt>
                <c:pt idx="493">
                  <c:v>44180</c:v>
                </c:pt>
                <c:pt idx="494">
                  <c:v>44181</c:v>
                </c:pt>
                <c:pt idx="495">
                  <c:v>44182</c:v>
                </c:pt>
                <c:pt idx="496">
                  <c:v>44183</c:v>
                </c:pt>
                <c:pt idx="497">
                  <c:v>44186</c:v>
                </c:pt>
                <c:pt idx="498">
                  <c:v>44187</c:v>
                </c:pt>
                <c:pt idx="499">
                  <c:v>44188</c:v>
                </c:pt>
                <c:pt idx="500">
                  <c:v>44189</c:v>
                </c:pt>
                <c:pt idx="501">
                  <c:v>44193</c:v>
                </c:pt>
                <c:pt idx="502">
                  <c:v>44194</c:v>
                </c:pt>
                <c:pt idx="503">
                  <c:v>44195</c:v>
                </c:pt>
                <c:pt idx="504">
                  <c:v>44196</c:v>
                </c:pt>
                <c:pt idx="505">
                  <c:v>44200</c:v>
                </c:pt>
                <c:pt idx="506">
                  <c:v>44201</c:v>
                </c:pt>
                <c:pt idx="507">
                  <c:v>44202</c:v>
                </c:pt>
                <c:pt idx="508">
                  <c:v>44203</c:v>
                </c:pt>
                <c:pt idx="509">
                  <c:v>44204</c:v>
                </c:pt>
                <c:pt idx="510">
                  <c:v>44207</c:v>
                </c:pt>
                <c:pt idx="511">
                  <c:v>44208</c:v>
                </c:pt>
                <c:pt idx="512">
                  <c:v>44209</c:v>
                </c:pt>
                <c:pt idx="513">
                  <c:v>44210</c:v>
                </c:pt>
                <c:pt idx="514">
                  <c:v>44211</c:v>
                </c:pt>
                <c:pt idx="515">
                  <c:v>44215</c:v>
                </c:pt>
                <c:pt idx="516">
                  <c:v>44216</c:v>
                </c:pt>
                <c:pt idx="517">
                  <c:v>44217</c:v>
                </c:pt>
                <c:pt idx="518">
                  <c:v>44218</c:v>
                </c:pt>
                <c:pt idx="519">
                  <c:v>44221</c:v>
                </c:pt>
                <c:pt idx="520">
                  <c:v>44222</c:v>
                </c:pt>
                <c:pt idx="521">
                  <c:v>44223</c:v>
                </c:pt>
                <c:pt idx="522">
                  <c:v>44224</c:v>
                </c:pt>
                <c:pt idx="523">
                  <c:v>44225</c:v>
                </c:pt>
                <c:pt idx="524">
                  <c:v>44228</c:v>
                </c:pt>
                <c:pt idx="525">
                  <c:v>44229</c:v>
                </c:pt>
                <c:pt idx="526">
                  <c:v>44230</c:v>
                </c:pt>
                <c:pt idx="527">
                  <c:v>44231</c:v>
                </c:pt>
                <c:pt idx="528">
                  <c:v>44232</c:v>
                </c:pt>
                <c:pt idx="529">
                  <c:v>44235</c:v>
                </c:pt>
                <c:pt idx="530">
                  <c:v>44236</c:v>
                </c:pt>
                <c:pt idx="531">
                  <c:v>44237</c:v>
                </c:pt>
                <c:pt idx="532">
                  <c:v>44238</c:v>
                </c:pt>
                <c:pt idx="533">
                  <c:v>44239</c:v>
                </c:pt>
                <c:pt idx="534">
                  <c:v>44243</c:v>
                </c:pt>
                <c:pt idx="535">
                  <c:v>44244</c:v>
                </c:pt>
                <c:pt idx="536">
                  <c:v>44245</c:v>
                </c:pt>
                <c:pt idx="537">
                  <c:v>44246</c:v>
                </c:pt>
                <c:pt idx="538">
                  <c:v>44249</c:v>
                </c:pt>
                <c:pt idx="539">
                  <c:v>44250</c:v>
                </c:pt>
                <c:pt idx="540">
                  <c:v>44251</c:v>
                </c:pt>
                <c:pt idx="541">
                  <c:v>44252</c:v>
                </c:pt>
                <c:pt idx="542">
                  <c:v>44253</c:v>
                </c:pt>
                <c:pt idx="543">
                  <c:v>44256</c:v>
                </c:pt>
                <c:pt idx="544">
                  <c:v>44257</c:v>
                </c:pt>
                <c:pt idx="545">
                  <c:v>44258</c:v>
                </c:pt>
                <c:pt idx="546">
                  <c:v>44259</c:v>
                </c:pt>
                <c:pt idx="547">
                  <c:v>44260</c:v>
                </c:pt>
                <c:pt idx="548">
                  <c:v>44263</c:v>
                </c:pt>
                <c:pt idx="549">
                  <c:v>44264</c:v>
                </c:pt>
                <c:pt idx="550">
                  <c:v>44265</c:v>
                </c:pt>
                <c:pt idx="551">
                  <c:v>44266</c:v>
                </c:pt>
                <c:pt idx="552">
                  <c:v>44267</c:v>
                </c:pt>
                <c:pt idx="553">
                  <c:v>44270</c:v>
                </c:pt>
                <c:pt idx="554">
                  <c:v>44271</c:v>
                </c:pt>
                <c:pt idx="555">
                  <c:v>44272</c:v>
                </c:pt>
                <c:pt idx="556">
                  <c:v>44273</c:v>
                </c:pt>
                <c:pt idx="557">
                  <c:v>44274</c:v>
                </c:pt>
                <c:pt idx="558">
                  <c:v>44277</c:v>
                </c:pt>
                <c:pt idx="559">
                  <c:v>44278</c:v>
                </c:pt>
                <c:pt idx="560">
                  <c:v>44279</c:v>
                </c:pt>
                <c:pt idx="561">
                  <c:v>44280</c:v>
                </c:pt>
                <c:pt idx="562">
                  <c:v>44281</c:v>
                </c:pt>
                <c:pt idx="563">
                  <c:v>44284</c:v>
                </c:pt>
                <c:pt idx="564">
                  <c:v>44285</c:v>
                </c:pt>
                <c:pt idx="565">
                  <c:v>44286</c:v>
                </c:pt>
                <c:pt idx="566">
                  <c:v>44287</c:v>
                </c:pt>
                <c:pt idx="567">
                  <c:v>44291</c:v>
                </c:pt>
                <c:pt idx="568">
                  <c:v>44292</c:v>
                </c:pt>
                <c:pt idx="569">
                  <c:v>44293</c:v>
                </c:pt>
                <c:pt idx="570">
                  <c:v>44294</c:v>
                </c:pt>
                <c:pt idx="571">
                  <c:v>44295</c:v>
                </c:pt>
                <c:pt idx="572">
                  <c:v>44298</c:v>
                </c:pt>
                <c:pt idx="573">
                  <c:v>44299</c:v>
                </c:pt>
                <c:pt idx="574">
                  <c:v>44300</c:v>
                </c:pt>
                <c:pt idx="575">
                  <c:v>44301</c:v>
                </c:pt>
                <c:pt idx="576">
                  <c:v>44302</c:v>
                </c:pt>
                <c:pt idx="577">
                  <c:v>44305</c:v>
                </c:pt>
                <c:pt idx="578">
                  <c:v>44306</c:v>
                </c:pt>
                <c:pt idx="579">
                  <c:v>44307</c:v>
                </c:pt>
                <c:pt idx="580">
                  <c:v>44308</c:v>
                </c:pt>
                <c:pt idx="581">
                  <c:v>44309</c:v>
                </c:pt>
                <c:pt idx="582">
                  <c:v>44312</c:v>
                </c:pt>
                <c:pt idx="583">
                  <c:v>44313</c:v>
                </c:pt>
                <c:pt idx="584">
                  <c:v>44314</c:v>
                </c:pt>
                <c:pt idx="585">
                  <c:v>44315</c:v>
                </c:pt>
                <c:pt idx="586">
                  <c:v>44316</c:v>
                </c:pt>
                <c:pt idx="587">
                  <c:v>44319</c:v>
                </c:pt>
                <c:pt idx="588">
                  <c:v>44320</c:v>
                </c:pt>
                <c:pt idx="589">
                  <c:v>44321</c:v>
                </c:pt>
                <c:pt idx="590">
                  <c:v>44322</c:v>
                </c:pt>
                <c:pt idx="591">
                  <c:v>44323</c:v>
                </c:pt>
                <c:pt idx="592">
                  <c:v>44326</c:v>
                </c:pt>
                <c:pt idx="593">
                  <c:v>44327</c:v>
                </c:pt>
                <c:pt idx="594">
                  <c:v>44328</c:v>
                </c:pt>
                <c:pt idx="595">
                  <c:v>44329</c:v>
                </c:pt>
                <c:pt idx="596">
                  <c:v>44330</c:v>
                </c:pt>
                <c:pt idx="597">
                  <c:v>44333</c:v>
                </c:pt>
                <c:pt idx="598">
                  <c:v>44334</c:v>
                </c:pt>
                <c:pt idx="599">
                  <c:v>44335</c:v>
                </c:pt>
                <c:pt idx="600">
                  <c:v>44336</c:v>
                </c:pt>
                <c:pt idx="601">
                  <c:v>44337</c:v>
                </c:pt>
                <c:pt idx="602">
                  <c:v>44340</c:v>
                </c:pt>
                <c:pt idx="603">
                  <c:v>44341</c:v>
                </c:pt>
                <c:pt idx="604">
                  <c:v>44342</c:v>
                </c:pt>
                <c:pt idx="605">
                  <c:v>44343</c:v>
                </c:pt>
                <c:pt idx="606">
                  <c:v>44344</c:v>
                </c:pt>
                <c:pt idx="607">
                  <c:v>44348</c:v>
                </c:pt>
                <c:pt idx="608">
                  <c:v>44349</c:v>
                </c:pt>
                <c:pt idx="609">
                  <c:v>44350</c:v>
                </c:pt>
                <c:pt idx="610">
                  <c:v>44351</c:v>
                </c:pt>
                <c:pt idx="611">
                  <c:v>44354</c:v>
                </c:pt>
                <c:pt idx="612">
                  <c:v>44355</c:v>
                </c:pt>
                <c:pt idx="613">
                  <c:v>44356</c:v>
                </c:pt>
                <c:pt idx="614">
                  <c:v>44357</c:v>
                </c:pt>
                <c:pt idx="615">
                  <c:v>44358</c:v>
                </c:pt>
                <c:pt idx="616">
                  <c:v>44361</c:v>
                </c:pt>
                <c:pt idx="617">
                  <c:v>44362</c:v>
                </c:pt>
                <c:pt idx="618">
                  <c:v>44363</c:v>
                </c:pt>
                <c:pt idx="619">
                  <c:v>44364</c:v>
                </c:pt>
                <c:pt idx="620">
                  <c:v>44365</c:v>
                </c:pt>
                <c:pt idx="621">
                  <c:v>44368</c:v>
                </c:pt>
                <c:pt idx="622">
                  <c:v>44369</c:v>
                </c:pt>
                <c:pt idx="623">
                  <c:v>44370</c:v>
                </c:pt>
                <c:pt idx="624">
                  <c:v>44371</c:v>
                </c:pt>
                <c:pt idx="625">
                  <c:v>44372</c:v>
                </c:pt>
                <c:pt idx="626">
                  <c:v>44375</c:v>
                </c:pt>
                <c:pt idx="627">
                  <c:v>44376</c:v>
                </c:pt>
                <c:pt idx="628">
                  <c:v>44377</c:v>
                </c:pt>
                <c:pt idx="629">
                  <c:v>44378</c:v>
                </c:pt>
                <c:pt idx="630">
                  <c:v>44379</c:v>
                </c:pt>
                <c:pt idx="631">
                  <c:v>44383</c:v>
                </c:pt>
                <c:pt idx="632">
                  <c:v>44384</c:v>
                </c:pt>
                <c:pt idx="633">
                  <c:v>44385</c:v>
                </c:pt>
                <c:pt idx="634">
                  <c:v>44386</c:v>
                </c:pt>
                <c:pt idx="635">
                  <c:v>44389</c:v>
                </c:pt>
                <c:pt idx="636">
                  <c:v>44390</c:v>
                </c:pt>
                <c:pt idx="637">
                  <c:v>44391</c:v>
                </c:pt>
                <c:pt idx="638">
                  <c:v>44392</c:v>
                </c:pt>
                <c:pt idx="639">
                  <c:v>44393</c:v>
                </c:pt>
                <c:pt idx="640">
                  <c:v>44396</c:v>
                </c:pt>
                <c:pt idx="641">
                  <c:v>44397</c:v>
                </c:pt>
                <c:pt idx="642">
                  <c:v>44398</c:v>
                </c:pt>
                <c:pt idx="643">
                  <c:v>44399</c:v>
                </c:pt>
                <c:pt idx="644">
                  <c:v>44400</c:v>
                </c:pt>
                <c:pt idx="645">
                  <c:v>44403</c:v>
                </c:pt>
                <c:pt idx="646">
                  <c:v>44404</c:v>
                </c:pt>
                <c:pt idx="647">
                  <c:v>44405</c:v>
                </c:pt>
                <c:pt idx="648">
                  <c:v>44406</c:v>
                </c:pt>
                <c:pt idx="649">
                  <c:v>44407</c:v>
                </c:pt>
                <c:pt idx="650">
                  <c:v>44410</c:v>
                </c:pt>
                <c:pt idx="651">
                  <c:v>44411</c:v>
                </c:pt>
                <c:pt idx="652">
                  <c:v>44412</c:v>
                </c:pt>
                <c:pt idx="653">
                  <c:v>44413</c:v>
                </c:pt>
                <c:pt idx="654">
                  <c:v>44414</c:v>
                </c:pt>
                <c:pt idx="655">
                  <c:v>44417</c:v>
                </c:pt>
                <c:pt idx="656">
                  <c:v>44418</c:v>
                </c:pt>
                <c:pt idx="657">
                  <c:v>44419</c:v>
                </c:pt>
                <c:pt idx="658">
                  <c:v>44420</c:v>
                </c:pt>
                <c:pt idx="659">
                  <c:v>44421</c:v>
                </c:pt>
                <c:pt idx="660">
                  <c:v>44424</c:v>
                </c:pt>
                <c:pt idx="661">
                  <c:v>44425</c:v>
                </c:pt>
                <c:pt idx="662">
                  <c:v>44426</c:v>
                </c:pt>
                <c:pt idx="663">
                  <c:v>44427</c:v>
                </c:pt>
                <c:pt idx="664">
                  <c:v>44428</c:v>
                </c:pt>
                <c:pt idx="665">
                  <c:v>44431</c:v>
                </c:pt>
                <c:pt idx="666">
                  <c:v>44432</c:v>
                </c:pt>
                <c:pt idx="667">
                  <c:v>44433</c:v>
                </c:pt>
                <c:pt idx="668">
                  <c:v>44434</c:v>
                </c:pt>
                <c:pt idx="669">
                  <c:v>44435</c:v>
                </c:pt>
                <c:pt idx="670">
                  <c:v>44438</c:v>
                </c:pt>
                <c:pt idx="671">
                  <c:v>44439</c:v>
                </c:pt>
                <c:pt idx="672">
                  <c:v>44440</c:v>
                </c:pt>
                <c:pt idx="673">
                  <c:v>44441</c:v>
                </c:pt>
                <c:pt idx="674">
                  <c:v>44442</c:v>
                </c:pt>
                <c:pt idx="675">
                  <c:v>44446</c:v>
                </c:pt>
                <c:pt idx="676">
                  <c:v>44447</c:v>
                </c:pt>
                <c:pt idx="677">
                  <c:v>44448</c:v>
                </c:pt>
                <c:pt idx="678">
                  <c:v>44449</c:v>
                </c:pt>
                <c:pt idx="679">
                  <c:v>44452</c:v>
                </c:pt>
                <c:pt idx="680">
                  <c:v>44453</c:v>
                </c:pt>
                <c:pt idx="681">
                  <c:v>44454</c:v>
                </c:pt>
                <c:pt idx="682">
                  <c:v>44455</c:v>
                </c:pt>
                <c:pt idx="683">
                  <c:v>44456</c:v>
                </c:pt>
                <c:pt idx="684">
                  <c:v>44459</c:v>
                </c:pt>
                <c:pt idx="685">
                  <c:v>44460</c:v>
                </c:pt>
                <c:pt idx="686">
                  <c:v>44461</c:v>
                </c:pt>
                <c:pt idx="687">
                  <c:v>44462</c:v>
                </c:pt>
                <c:pt idx="688">
                  <c:v>44463</c:v>
                </c:pt>
                <c:pt idx="689">
                  <c:v>44466</c:v>
                </c:pt>
                <c:pt idx="690">
                  <c:v>44467</c:v>
                </c:pt>
                <c:pt idx="691">
                  <c:v>44468</c:v>
                </c:pt>
                <c:pt idx="692">
                  <c:v>44469</c:v>
                </c:pt>
                <c:pt idx="693">
                  <c:v>44470</c:v>
                </c:pt>
                <c:pt idx="694">
                  <c:v>44473</c:v>
                </c:pt>
                <c:pt idx="695">
                  <c:v>44474</c:v>
                </c:pt>
                <c:pt idx="696">
                  <c:v>44475</c:v>
                </c:pt>
                <c:pt idx="697">
                  <c:v>44476</c:v>
                </c:pt>
                <c:pt idx="698">
                  <c:v>44477</c:v>
                </c:pt>
                <c:pt idx="699">
                  <c:v>44480</c:v>
                </c:pt>
                <c:pt idx="700">
                  <c:v>44481</c:v>
                </c:pt>
                <c:pt idx="701">
                  <c:v>44482</c:v>
                </c:pt>
                <c:pt idx="702">
                  <c:v>44483</c:v>
                </c:pt>
                <c:pt idx="703">
                  <c:v>44484</c:v>
                </c:pt>
                <c:pt idx="704">
                  <c:v>44487</c:v>
                </c:pt>
                <c:pt idx="705">
                  <c:v>44488</c:v>
                </c:pt>
                <c:pt idx="706">
                  <c:v>44489</c:v>
                </c:pt>
                <c:pt idx="707">
                  <c:v>44490</c:v>
                </c:pt>
                <c:pt idx="708">
                  <c:v>44491</c:v>
                </c:pt>
                <c:pt idx="709">
                  <c:v>44494</c:v>
                </c:pt>
                <c:pt idx="710">
                  <c:v>44495</c:v>
                </c:pt>
                <c:pt idx="711">
                  <c:v>44496</c:v>
                </c:pt>
                <c:pt idx="712">
                  <c:v>44497</c:v>
                </c:pt>
                <c:pt idx="713">
                  <c:v>44498</c:v>
                </c:pt>
                <c:pt idx="714">
                  <c:v>44501</c:v>
                </c:pt>
                <c:pt idx="715">
                  <c:v>44502</c:v>
                </c:pt>
                <c:pt idx="716">
                  <c:v>44503</c:v>
                </c:pt>
                <c:pt idx="717">
                  <c:v>44504</c:v>
                </c:pt>
                <c:pt idx="718">
                  <c:v>44505</c:v>
                </c:pt>
                <c:pt idx="719">
                  <c:v>44508</c:v>
                </c:pt>
                <c:pt idx="720">
                  <c:v>44509</c:v>
                </c:pt>
                <c:pt idx="721">
                  <c:v>44510</c:v>
                </c:pt>
                <c:pt idx="722">
                  <c:v>44511</c:v>
                </c:pt>
                <c:pt idx="723">
                  <c:v>44512</c:v>
                </c:pt>
                <c:pt idx="724">
                  <c:v>44515</c:v>
                </c:pt>
                <c:pt idx="725">
                  <c:v>44516</c:v>
                </c:pt>
                <c:pt idx="726">
                  <c:v>44517</c:v>
                </c:pt>
                <c:pt idx="727">
                  <c:v>44518</c:v>
                </c:pt>
                <c:pt idx="728">
                  <c:v>44519</c:v>
                </c:pt>
                <c:pt idx="729">
                  <c:v>44522</c:v>
                </c:pt>
                <c:pt idx="730">
                  <c:v>44523</c:v>
                </c:pt>
                <c:pt idx="731">
                  <c:v>44524</c:v>
                </c:pt>
                <c:pt idx="732">
                  <c:v>44526</c:v>
                </c:pt>
                <c:pt idx="733">
                  <c:v>44529</c:v>
                </c:pt>
                <c:pt idx="734">
                  <c:v>44530</c:v>
                </c:pt>
                <c:pt idx="735">
                  <c:v>44531</c:v>
                </c:pt>
                <c:pt idx="736">
                  <c:v>44532</c:v>
                </c:pt>
                <c:pt idx="737">
                  <c:v>44533</c:v>
                </c:pt>
                <c:pt idx="738">
                  <c:v>44536</c:v>
                </c:pt>
                <c:pt idx="739">
                  <c:v>44537</c:v>
                </c:pt>
                <c:pt idx="740">
                  <c:v>44538</c:v>
                </c:pt>
                <c:pt idx="741">
                  <c:v>44539</c:v>
                </c:pt>
                <c:pt idx="742">
                  <c:v>44540</c:v>
                </c:pt>
                <c:pt idx="743">
                  <c:v>44543</c:v>
                </c:pt>
                <c:pt idx="744">
                  <c:v>44544</c:v>
                </c:pt>
                <c:pt idx="745">
                  <c:v>44545</c:v>
                </c:pt>
                <c:pt idx="746">
                  <c:v>44546</c:v>
                </c:pt>
                <c:pt idx="747">
                  <c:v>44547</c:v>
                </c:pt>
                <c:pt idx="748">
                  <c:v>44550</c:v>
                </c:pt>
                <c:pt idx="749">
                  <c:v>44551</c:v>
                </c:pt>
                <c:pt idx="750">
                  <c:v>44552</c:v>
                </c:pt>
                <c:pt idx="751">
                  <c:v>44553</c:v>
                </c:pt>
                <c:pt idx="752">
                  <c:v>44557</c:v>
                </c:pt>
                <c:pt idx="753">
                  <c:v>44558</c:v>
                </c:pt>
                <c:pt idx="754">
                  <c:v>44559</c:v>
                </c:pt>
                <c:pt idx="755">
                  <c:v>44560</c:v>
                </c:pt>
                <c:pt idx="756">
                  <c:v>44561</c:v>
                </c:pt>
                <c:pt idx="757">
                  <c:v>44564</c:v>
                </c:pt>
                <c:pt idx="758">
                  <c:v>44565</c:v>
                </c:pt>
                <c:pt idx="759">
                  <c:v>44566</c:v>
                </c:pt>
                <c:pt idx="760">
                  <c:v>44567</c:v>
                </c:pt>
                <c:pt idx="761">
                  <c:v>44568</c:v>
                </c:pt>
                <c:pt idx="762">
                  <c:v>44571</c:v>
                </c:pt>
                <c:pt idx="763">
                  <c:v>44572</c:v>
                </c:pt>
                <c:pt idx="764">
                  <c:v>44573</c:v>
                </c:pt>
                <c:pt idx="765">
                  <c:v>44574</c:v>
                </c:pt>
                <c:pt idx="766">
                  <c:v>44575</c:v>
                </c:pt>
                <c:pt idx="767">
                  <c:v>44579</c:v>
                </c:pt>
                <c:pt idx="768">
                  <c:v>44580</c:v>
                </c:pt>
                <c:pt idx="769">
                  <c:v>44581</c:v>
                </c:pt>
                <c:pt idx="770">
                  <c:v>44582</c:v>
                </c:pt>
                <c:pt idx="771">
                  <c:v>44585</c:v>
                </c:pt>
                <c:pt idx="772">
                  <c:v>44586</c:v>
                </c:pt>
                <c:pt idx="773">
                  <c:v>44587</c:v>
                </c:pt>
                <c:pt idx="774">
                  <c:v>44588</c:v>
                </c:pt>
                <c:pt idx="775">
                  <c:v>44589</c:v>
                </c:pt>
                <c:pt idx="776">
                  <c:v>44592</c:v>
                </c:pt>
                <c:pt idx="777">
                  <c:v>44593</c:v>
                </c:pt>
                <c:pt idx="778">
                  <c:v>44594</c:v>
                </c:pt>
                <c:pt idx="779">
                  <c:v>44595</c:v>
                </c:pt>
                <c:pt idx="780">
                  <c:v>44596</c:v>
                </c:pt>
                <c:pt idx="781">
                  <c:v>44599</c:v>
                </c:pt>
                <c:pt idx="782">
                  <c:v>44600</c:v>
                </c:pt>
                <c:pt idx="783">
                  <c:v>44601</c:v>
                </c:pt>
                <c:pt idx="784">
                  <c:v>44602</c:v>
                </c:pt>
                <c:pt idx="785">
                  <c:v>44603</c:v>
                </c:pt>
                <c:pt idx="786">
                  <c:v>44606</c:v>
                </c:pt>
                <c:pt idx="787">
                  <c:v>44607</c:v>
                </c:pt>
                <c:pt idx="788">
                  <c:v>44608</c:v>
                </c:pt>
                <c:pt idx="789">
                  <c:v>44609</c:v>
                </c:pt>
                <c:pt idx="790">
                  <c:v>44610</c:v>
                </c:pt>
                <c:pt idx="791">
                  <c:v>44614</c:v>
                </c:pt>
                <c:pt idx="792">
                  <c:v>44615</c:v>
                </c:pt>
                <c:pt idx="793">
                  <c:v>44616</c:v>
                </c:pt>
                <c:pt idx="794">
                  <c:v>44617</c:v>
                </c:pt>
                <c:pt idx="795">
                  <c:v>44620</c:v>
                </c:pt>
                <c:pt idx="796">
                  <c:v>44621</c:v>
                </c:pt>
                <c:pt idx="797">
                  <c:v>44622</c:v>
                </c:pt>
                <c:pt idx="798">
                  <c:v>44623</c:v>
                </c:pt>
                <c:pt idx="799">
                  <c:v>44624</c:v>
                </c:pt>
                <c:pt idx="800">
                  <c:v>44627</c:v>
                </c:pt>
                <c:pt idx="801">
                  <c:v>44628</c:v>
                </c:pt>
                <c:pt idx="802">
                  <c:v>44629</c:v>
                </c:pt>
                <c:pt idx="803">
                  <c:v>44630</c:v>
                </c:pt>
                <c:pt idx="804">
                  <c:v>44631</c:v>
                </c:pt>
                <c:pt idx="805">
                  <c:v>44634</c:v>
                </c:pt>
                <c:pt idx="806">
                  <c:v>44635</c:v>
                </c:pt>
                <c:pt idx="807">
                  <c:v>44636</c:v>
                </c:pt>
                <c:pt idx="808">
                  <c:v>44637</c:v>
                </c:pt>
                <c:pt idx="809">
                  <c:v>44638</c:v>
                </c:pt>
                <c:pt idx="810">
                  <c:v>44641</c:v>
                </c:pt>
                <c:pt idx="811">
                  <c:v>44642</c:v>
                </c:pt>
                <c:pt idx="812">
                  <c:v>44643</c:v>
                </c:pt>
                <c:pt idx="813">
                  <c:v>44644</c:v>
                </c:pt>
                <c:pt idx="814">
                  <c:v>44645</c:v>
                </c:pt>
                <c:pt idx="815">
                  <c:v>44648</c:v>
                </c:pt>
                <c:pt idx="816">
                  <c:v>44649</c:v>
                </c:pt>
                <c:pt idx="817">
                  <c:v>44650</c:v>
                </c:pt>
                <c:pt idx="818">
                  <c:v>44651</c:v>
                </c:pt>
                <c:pt idx="819">
                  <c:v>44652</c:v>
                </c:pt>
                <c:pt idx="820">
                  <c:v>44655</c:v>
                </c:pt>
                <c:pt idx="821">
                  <c:v>44656</c:v>
                </c:pt>
                <c:pt idx="822">
                  <c:v>44657</c:v>
                </c:pt>
                <c:pt idx="823">
                  <c:v>44658</c:v>
                </c:pt>
                <c:pt idx="824">
                  <c:v>44659</c:v>
                </c:pt>
                <c:pt idx="825">
                  <c:v>44662</c:v>
                </c:pt>
                <c:pt idx="826">
                  <c:v>44663</c:v>
                </c:pt>
                <c:pt idx="827">
                  <c:v>44664</c:v>
                </c:pt>
                <c:pt idx="828">
                  <c:v>44665</c:v>
                </c:pt>
                <c:pt idx="829">
                  <c:v>44669</c:v>
                </c:pt>
                <c:pt idx="830">
                  <c:v>44670</c:v>
                </c:pt>
                <c:pt idx="831">
                  <c:v>44671</c:v>
                </c:pt>
                <c:pt idx="832">
                  <c:v>44672</c:v>
                </c:pt>
                <c:pt idx="833">
                  <c:v>44673</c:v>
                </c:pt>
                <c:pt idx="834">
                  <c:v>44676</c:v>
                </c:pt>
                <c:pt idx="835">
                  <c:v>44677</c:v>
                </c:pt>
                <c:pt idx="836">
                  <c:v>44678</c:v>
                </c:pt>
                <c:pt idx="837">
                  <c:v>44679</c:v>
                </c:pt>
                <c:pt idx="838">
                  <c:v>44680</c:v>
                </c:pt>
                <c:pt idx="839">
                  <c:v>44683</c:v>
                </c:pt>
                <c:pt idx="840">
                  <c:v>44684</c:v>
                </c:pt>
                <c:pt idx="841">
                  <c:v>44685</c:v>
                </c:pt>
                <c:pt idx="842">
                  <c:v>44686</c:v>
                </c:pt>
                <c:pt idx="843">
                  <c:v>44687</c:v>
                </c:pt>
                <c:pt idx="844">
                  <c:v>44690</c:v>
                </c:pt>
                <c:pt idx="845">
                  <c:v>44691</c:v>
                </c:pt>
                <c:pt idx="846">
                  <c:v>44692</c:v>
                </c:pt>
                <c:pt idx="847">
                  <c:v>44693</c:v>
                </c:pt>
                <c:pt idx="848">
                  <c:v>44694</c:v>
                </c:pt>
                <c:pt idx="849">
                  <c:v>44697</c:v>
                </c:pt>
                <c:pt idx="850">
                  <c:v>44698</c:v>
                </c:pt>
                <c:pt idx="851">
                  <c:v>44699</c:v>
                </c:pt>
                <c:pt idx="852">
                  <c:v>44700</c:v>
                </c:pt>
                <c:pt idx="853">
                  <c:v>44701</c:v>
                </c:pt>
                <c:pt idx="854">
                  <c:v>44704</c:v>
                </c:pt>
                <c:pt idx="855">
                  <c:v>44705</c:v>
                </c:pt>
                <c:pt idx="856">
                  <c:v>44706</c:v>
                </c:pt>
                <c:pt idx="857">
                  <c:v>44707</c:v>
                </c:pt>
                <c:pt idx="858">
                  <c:v>44708</c:v>
                </c:pt>
                <c:pt idx="859">
                  <c:v>44712</c:v>
                </c:pt>
                <c:pt idx="860">
                  <c:v>44713</c:v>
                </c:pt>
                <c:pt idx="861">
                  <c:v>44714</c:v>
                </c:pt>
                <c:pt idx="862">
                  <c:v>44715</c:v>
                </c:pt>
                <c:pt idx="863">
                  <c:v>44718</c:v>
                </c:pt>
                <c:pt idx="864">
                  <c:v>44719</c:v>
                </c:pt>
                <c:pt idx="865">
                  <c:v>44720</c:v>
                </c:pt>
                <c:pt idx="866">
                  <c:v>44721</c:v>
                </c:pt>
                <c:pt idx="867">
                  <c:v>44722</c:v>
                </c:pt>
                <c:pt idx="868">
                  <c:v>44725</c:v>
                </c:pt>
                <c:pt idx="869">
                  <c:v>44726</c:v>
                </c:pt>
                <c:pt idx="870">
                  <c:v>44727</c:v>
                </c:pt>
                <c:pt idx="871">
                  <c:v>44728</c:v>
                </c:pt>
                <c:pt idx="872">
                  <c:v>44729</c:v>
                </c:pt>
                <c:pt idx="873">
                  <c:v>44733</c:v>
                </c:pt>
                <c:pt idx="874">
                  <c:v>44734</c:v>
                </c:pt>
                <c:pt idx="875">
                  <c:v>44735</c:v>
                </c:pt>
                <c:pt idx="876">
                  <c:v>44736</c:v>
                </c:pt>
                <c:pt idx="877">
                  <c:v>44739</c:v>
                </c:pt>
                <c:pt idx="878">
                  <c:v>44740</c:v>
                </c:pt>
                <c:pt idx="879">
                  <c:v>44741</c:v>
                </c:pt>
                <c:pt idx="880">
                  <c:v>44742</c:v>
                </c:pt>
                <c:pt idx="881">
                  <c:v>44743</c:v>
                </c:pt>
                <c:pt idx="882">
                  <c:v>44747</c:v>
                </c:pt>
                <c:pt idx="883">
                  <c:v>44748</c:v>
                </c:pt>
                <c:pt idx="884">
                  <c:v>44749</c:v>
                </c:pt>
                <c:pt idx="885">
                  <c:v>44750</c:v>
                </c:pt>
                <c:pt idx="886">
                  <c:v>44753</c:v>
                </c:pt>
                <c:pt idx="887">
                  <c:v>44754</c:v>
                </c:pt>
                <c:pt idx="888">
                  <c:v>44755</c:v>
                </c:pt>
                <c:pt idx="889">
                  <c:v>44756</c:v>
                </c:pt>
                <c:pt idx="890">
                  <c:v>44757</c:v>
                </c:pt>
                <c:pt idx="891">
                  <c:v>44760</c:v>
                </c:pt>
                <c:pt idx="892">
                  <c:v>44761</c:v>
                </c:pt>
                <c:pt idx="893">
                  <c:v>44762</c:v>
                </c:pt>
                <c:pt idx="894">
                  <c:v>44763</c:v>
                </c:pt>
                <c:pt idx="895">
                  <c:v>44764</c:v>
                </c:pt>
                <c:pt idx="896">
                  <c:v>44767</c:v>
                </c:pt>
                <c:pt idx="897">
                  <c:v>44768</c:v>
                </c:pt>
                <c:pt idx="898">
                  <c:v>44769</c:v>
                </c:pt>
                <c:pt idx="899">
                  <c:v>44770</c:v>
                </c:pt>
                <c:pt idx="900">
                  <c:v>44771</c:v>
                </c:pt>
                <c:pt idx="901">
                  <c:v>44774</c:v>
                </c:pt>
                <c:pt idx="902">
                  <c:v>44775</c:v>
                </c:pt>
                <c:pt idx="903">
                  <c:v>44776</c:v>
                </c:pt>
                <c:pt idx="904">
                  <c:v>44777</c:v>
                </c:pt>
                <c:pt idx="905">
                  <c:v>44778</c:v>
                </c:pt>
                <c:pt idx="906">
                  <c:v>44781</c:v>
                </c:pt>
                <c:pt idx="907">
                  <c:v>44782</c:v>
                </c:pt>
                <c:pt idx="908">
                  <c:v>44783</c:v>
                </c:pt>
                <c:pt idx="909">
                  <c:v>44784</c:v>
                </c:pt>
                <c:pt idx="910">
                  <c:v>44785</c:v>
                </c:pt>
                <c:pt idx="911">
                  <c:v>44788</c:v>
                </c:pt>
                <c:pt idx="912">
                  <c:v>44789</c:v>
                </c:pt>
                <c:pt idx="913">
                  <c:v>44790</c:v>
                </c:pt>
                <c:pt idx="914">
                  <c:v>44791</c:v>
                </c:pt>
                <c:pt idx="915">
                  <c:v>44792</c:v>
                </c:pt>
                <c:pt idx="916">
                  <c:v>44795</c:v>
                </c:pt>
                <c:pt idx="917">
                  <c:v>44796</c:v>
                </c:pt>
                <c:pt idx="918">
                  <c:v>44797</c:v>
                </c:pt>
                <c:pt idx="919">
                  <c:v>44798</c:v>
                </c:pt>
                <c:pt idx="920">
                  <c:v>44799</c:v>
                </c:pt>
                <c:pt idx="921">
                  <c:v>44802</c:v>
                </c:pt>
                <c:pt idx="922">
                  <c:v>44803</c:v>
                </c:pt>
                <c:pt idx="923">
                  <c:v>44804</c:v>
                </c:pt>
                <c:pt idx="924">
                  <c:v>44805</c:v>
                </c:pt>
                <c:pt idx="925">
                  <c:v>44806</c:v>
                </c:pt>
                <c:pt idx="926">
                  <c:v>44810</c:v>
                </c:pt>
                <c:pt idx="927">
                  <c:v>44811</c:v>
                </c:pt>
                <c:pt idx="928">
                  <c:v>44812</c:v>
                </c:pt>
                <c:pt idx="929">
                  <c:v>44813</c:v>
                </c:pt>
                <c:pt idx="930">
                  <c:v>44816</c:v>
                </c:pt>
                <c:pt idx="931">
                  <c:v>44817</c:v>
                </c:pt>
                <c:pt idx="932">
                  <c:v>44818</c:v>
                </c:pt>
                <c:pt idx="933">
                  <c:v>44819</c:v>
                </c:pt>
                <c:pt idx="934">
                  <c:v>44820</c:v>
                </c:pt>
                <c:pt idx="935">
                  <c:v>44823</c:v>
                </c:pt>
                <c:pt idx="936">
                  <c:v>44824</c:v>
                </c:pt>
                <c:pt idx="937">
                  <c:v>44825</c:v>
                </c:pt>
                <c:pt idx="938">
                  <c:v>44826</c:v>
                </c:pt>
                <c:pt idx="939">
                  <c:v>44827</c:v>
                </c:pt>
                <c:pt idx="940">
                  <c:v>44830</c:v>
                </c:pt>
                <c:pt idx="941">
                  <c:v>44831</c:v>
                </c:pt>
                <c:pt idx="942">
                  <c:v>44832</c:v>
                </c:pt>
                <c:pt idx="943">
                  <c:v>44833</c:v>
                </c:pt>
                <c:pt idx="944">
                  <c:v>44834</c:v>
                </c:pt>
                <c:pt idx="945">
                  <c:v>44837</c:v>
                </c:pt>
                <c:pt idx="946">
                  <c:v>44838</c:v>
                </c:pt>
                <c:pt idx="947">
                  <c:v>44839</c:v>
                </c:pt>
                <c:pt idx="948">
                  <c:v>44840</c:v>
                </c:pt>
                <c:pt idx="949">
                  <c:v>44841</c:v>
                </c:pt>
                <c:pt idx="950">
                  <c:v>44844</c:v>
                </c:pt>
                <c:pt idx="951">
                  <c:v>44845</c:v>
                </c:pt>
                <c:pt idx="952">
                  <c:v>44846</c:v>
                </c:pt>
                <c:pt idx="953">
                  <c:v>44847</c:v>
                </c:pt>
                <c:pt idx="954">
                  <c:v>44848</c:v>
                </c:pt>
                <c:pt idx="955">
                  <c:v>44851</c:v>
                </c:pt>
                <c:pt idx="956">
                  <c:v>44852</c:v>
                </c:pt>
                <c:pt idx="957">
                  <c:v>44853</c:v>
                </c:pt>
                <c:pt idx="958">
                  <c:v>44854</c:v>
                </c:pt>
                <c:pt idx="959">
                  <c:v>44855</c:v>
                </c:pt>
                <c:pt idx="960">
                  <c:v>44858</c:v>
                </c:pt>
                <c:pt idx="961">
                  <c:v>44859</c:v>
                </c:pt>
                <c:pt idx="962">
                  <c:v>44860</c:v>
                </c:pt>
                <c:pt idx="963">
                  <c:v>44861</c:v>
                </c:pt>
                <c:pt idx="964">
                  <c:v>44862</c:v>
                </c:pt>
                <c:pt idx="965">
                  <c:v>44865</c:v>
                </c:pt>
                <c:pt idx="966">
                  <c:v>44866</c:v>
                </c:pt>
                <c:pt idx="967">
                  <c:v>44867</c:v>
                </c:pt>
                <c:pt idx="968">
                  <c:v>44868</c:v>
                </c:pt>
                <c:pt idx="969">
                  <c:v>44869</c:v>
                </c:pt>
                <c:pt idx="970">
                  <c:v>44872</c:v>
                </c:pt>
                <c:pt idx="971">
                  <c:v>44873</c:v>
                </c:pt>
                <c:pt idx="972">
                  <c:v>44874</c:v>
                </c:pt>
                <c:pt idx="973">
                  <c:v>44875</c:v>
                </c:pt>
                <c:pt idx="974">
                  <c:v>44876</c:v>
                </c:pt>
                <c:pt idx="975">
                  <c:v>44879</c:v>
                </c:pt>
                <c:pt idx="976">
                  <c:v>44880</c:v>
                </c:pt>
                <c:pt idx="977">
                  <c:v>44881</c:v>
                </c:pt>
                <c:pt idx="978">
                  <c:v>44882</c:v>
                </c:pt>
                <c:pt idx="979">
                  <c:v>44883</c:v>
                </c:pt>
                <c:pt idx="980">
                  <c:v>44886</c:v>
                </c:pt>
                <c:pt idx="981">
                  <c:v>44887</c:v>
                </c:pt>
                <c:pt idx="982">
                  <c:v>44888</c:v>
                </c:pt>
                <c:pt idx="983">
                  <c:v>44890</c:v>
                </c:pt>
                <c:pt idx="984">
                  <c:v>44893</c:v>
                </c:pt>
                <c:pt idx="985">
                  <c:v>44894</c:v>
                </c:pt>
                <c:pt idx="986">
                  <c:v>44895</c:v>
                </c:pt>
                <c:pt idx="987">
                  <c:v>44896</c:v>
                </c:pt>
                <c:pt idx="988">
                  <c:v>44897</c:v>
                </c:pt>
                <c:pt idx="989">
                  <c:v>44900</c:v>
                </c:pt>
                <c:pt idx="990">
                  <c:v>44901</c:v>
                </c:pt>
                <c:pt idx="991">
                  <c:v>44902</c:v>
                </c:pt>
                <c:pt idx="992">
                  <c:v>44903</c:v>
                </c:pt>
                <c:pt idx="993">
                  <c:v>44904</c:v>
                </c:pt>
                <c:pt idx="994">
                  <c:v>44907</c:v>
                </c:pt>
                <c:pt idx="995">
                  <c:v>44908</c:v>
                </c:pt>
                <c:pt idx="996">
                  <c:v>44909</c:v>
                </c:pt>
                <c:pt idx="997">
                  <c:v>44910</c:v>
                </c:pt>
                <c:pt idx="998">
                  <c:v>44911</c:v>
                </c:pt>
                <c:pt idx="999">
                  <c:v>44914</c:v>
                </c:pt>
                <c:pt idx="1000">
                  <c:v>44915</c:v>
                </c:pt>
                <c:pt idx="1001">
                  <c:v>44916</c:v>
                </c:pt>
                <c:pt idx="1002">
                  <c:v>44917</c:v>
                </c:pt>
                <c:pt idx="1003">
                  <c:v>44918</c:v>
                </c:pt>
                <c:pt idx="1004">
                  <c:v>44922</c:v>
                </c:pt>
              </c:numCache>
            </c:numRef>
          </c:cat>
          <c:val>
            <c:numRef>
              <c:f>[1]AAPL!$H$2:$H$1006</c:f>
              <c:numCache>
                <c:formatCode>General</c:formatCode>
                <c:ptCount val="1005"/>
                <c:pt idx="0">
                  <c:v>0</c:v>
                </c:pt>
                <c:pt idx="1">
                  <c:v>-9.9607370820668728E-2</c:v>
                </c:pt>
                <c:pt idx="2">
                  <c:v>4.2689301844312633E-2</c:v>
                </c:pt>
                <c:pt idx="3">
                  <c:v>-2.2258465459557009E-3</c:v>
                </c:pt>
                <c:pt idx="4">
                  <c:v>1.9063125481680654E-2</c:v>
                </c:pt>
                <c:pt idx="5">
                  <c:v>1.6981731343283624E-2</c:v>
                </c:pt>
                <c:pt idx="6">
                  <c:v>3.1961908080671009E-3</c:v>
                </c:pt>
                <c:pt idx="7">
                  <c:v>-9.8180231516767913E-3</c:v>
                </c:pt>
                <c:pt idx="8">
                  <c:v>-1.5037048527785202E-2</c:v>
                </c:pt>
                <c:pt idx="9">
                  <c:v>2.0466719999999938E-2</c:v>
                </c:pt>
                <c:pt idx="10">
                  <c:v>1.2216606142726461E-2</c:v>
                </c:pt>
                <c:pt idx="11">
                  <c:v>5.9377563976312775E-3</c:v>
                </c:pt>
                <c:pt idx="12">
                  <c:v>6.15942512511225E-3</c:v>
                </c:pt>
                <c:pt idx="13">
                  <c:v>-2.2446140928649827E-2</c:v>
                </c:pt>
                <c:pt idx="14">
                  <c:v>4.044331270858903E-3</c:v>
                </c:pt>
                <c:pt idx="15">
                  <c:v>-7.926221413721346E-3</c:v>
                </c:pt>
                <c:pt idx="16">
                  <c:v>3.3136870547134878E-2</c:v>
                </c:pt>
                <c:pt idx="17">
                  <c:v>-9.2545134192321132E-3</c:v>
                </c:pt>
                <c:pt idx="18">
                  <c:v>-1.0364759811522517E-2</c:v>
                </c:pt>
                <c:pt idx="19">
                  <c:v>6.833468157924405E-2</c:v>
                </c:pt>
                <c:pt idx="20">
                  <c:v>7.2012344931919881E-3</c:v>
                </c:pt>
                <c:pt idx="21">
                  <c:v>4.8065367746574772E-4</c:v>
                </c:pt>
                <c:pt idx="22">
                  <c:v>2.8404971693370751E-2</c:v>
                </c:pt>
                <c:pt idx="23">
                  <c:v>1.71094423357665E-2</c:v>
                </c:pt>
                <c:pt idx="24">
                  <c:v>3.4454014672369304E-4</c:v>
                </c:pt>
                <c:pt idx="25">
                  <c:v>-1.8939393504605384E-2</c:v>
                </c:pt>
                <c:pt idx="26">
                  <c:v>-3.1005030279512846E-3</c:v>
                </c:pt>
                <c:pt idx="27">
                  <c:v>-5.7509065019445416E-3</c:v>
                </c:pt>
                <c:pt idx="28">
                  <c:v>8.6171756414885614E-3</c:v>
                </c:pt>
                <c:pt idx="29">
                  <c:v>-4.1547662238866634E-3</c:v>
                </c:pt>
                <c:pt idx="30">
                  <c:v>3.6432720010939335E-3</c:v>
                </c:pt>
                <c:pt idx="31">
                  <c:v>-2.2248477230715213E-3</c:v>
                </c:pt>
                <c:pt idx="32">
                  <c:v>2.9925595587372289E-3</c:v>
                </c:pt>
                <c:pt idx="33">
                  <c:v>6.4354300092637207E-3</c:v>
                </c:pt>
                <c:pt idx="34">
                  <c:v>-5.6385746672091841E-3</c:v>
                </c:pt>
                <c:pt idx="35">
                  <c:v>1.1165696508025125E-2</c:v>
                </c:pt>
                <c:pt idx="36">
                  <c:v>7.2844770769497913E-3</c:v>
                </c:pt>
                <c:pt idx="37">
                  <c:v>5.7397694022798262E-4</c:v>
                </c:pt>
                <c:pt idx="38">
                  <c:v>3.0975506223827054E-3</c:v>
                </c:pt>
                <c:pt idx="39">
                  <c:v>-9.8359011799827867E-3</c:v>
                </c:pt>
                <c:pt idx="40">
                  <c:v>1.0511164216513436E-2</c:v>
                </c:pt>
                <c:pt idx="41">
                  <c:v>5.0294793393153014E-3</c:v>
                </c:pt>
                <c:pt idx="42">
                  <c:v>-1.8197781372861765E-3</c:v>
                </c:pt>
                <c:pt idx="43">
                  <c:v>-5.7539793767447112E-3</c:v>
                </c:pt>
                <c:pt idx="44">
                  <c:v>-1.157462728456049E-2</c:v>
                </c:pt>
                <c:pt idx="45">
                  <c:v>2.3768347826085279E-3</c:v>
                </c:pt>
                <c:pt idx="46">
                  <c:v>3.4642229260488655E-2</c:v>
                </c:pt>
                <c:pt idx="47">
                  <c:v>1.1235394577323365E-2</c:v>
                </c:pt>
                <c:pt idx="48">
                  <c:v>4.4221103438812914E-3</c:v>
                </c:pt>
                <c:pt idx="49">
                  <c:v>1.1116547856846681E-2</c:v>
                </c:pt>
                <c:pt idx="50">
                  <c:v>1.3008218864817289E-2</c:v>
                </c:pt>
                <c:pt idx="51">
                  <c:v>1.0208510857694364E-2</c:v>
                </c:pt>
                <c:pt idx="52">
                  <c:v>-7.9247099686264866E-3</c:v>
                </c:pt>
                <c:pt idx="53">
                  <c:v>8.7385621615825304E-3</c:v>
                </c:pt>
                <c:pt idx="54">
                  <c:v>3.6830313842893148E-2</c:v>
                </c:pt>
                <c:pt idx="55">
                  <c:v>-2.0708350416901999E-2</c:v>
                </c:pt>
                <c:pt idx="56">
                  <c:v>-1.2091075381500671E-2</c:v>
                </c:pt>
                <c:pt idx="57">
                  <c:v>-1.0331736561794203E-2</c:v>
                </c:pt>
                <c:pt idx="58">
                  <c:v>8.9941007117768645E-3</c:v>
                </c:pt>
                <c:pt idx="59">
                  <c:v>1.3264710564016013E-3</c:v>
                </c:pt>
                <c:pt idx="60">
                  <c:v>6.517571004662992E-3</c:v>
                </c:pt>
                <c:pt idx="61">
                  <c:v>6.7913031174793304E-3</c:v>
                </c:pt>
                <c:pt idx="62">
                  <c:v>1.4536707497663448E-2</c:v>
                </c:pt>
                <c:pt idx="63">
                  <c:v>6.8549838809404129E-3</c:v>
                </c:pt>
                <c:pt idx="64">
                  <c:v>1.7404452832168182E-3</c:v>
                </c:pt>
                <c:pt idx="65">
                  <c:v>6.6942407543719717E-3</c:v>
                </c:pt>
                <c:pt idx="66">
                  <c:v>1.5736081218274078E-2</c:v>
                </c:pt>
                <c:pt idx="67">
                  <c:v>-2.9985406097534639E-3</c:v>
                </c:pt>
                <c:pt idx="68">
                  <c:v>5.6140150375938447E-3</c:v>
                </c:pt>
                <c:pt idx="69">
                  <c:v>-8.3241951614831944E-3</c:v>
                </c:pt>
                <c:pt idx="70">
                  <c:v>-4.0211109127141764E-4</c:v>
                </c:pt>
                <c:pt idx="71">
                  <c:v>1.8102278234068958E-3</c:v>
                </c:pt>
                <c:pt idx="72">
                  <c:v>1.0040656729226605E-4</c:v>
                </c:pt>
                <c:pt idx="73">
                  <c:v>1.9473043914680188E-2</c:v>
                </c:pt>
                <c:pt idx="74">
                  <c:v>3.5937379295281069E-3</c:v>
                </c:pt>
                <c:pt idx="75">
                  <c:v>3.2865692141665903E-3</c:v>
                </c:pt>
                <c:pt idx="76">
                  <c:v>1.4423292426538836E-2</c:v>
                </c:pt>
                <c:pt idx="77">
                  <c:v>-1.5422788035913682E-3</c:v>
                </c:pt>
                <c:pt idx="78">
                  <c:v>-9.0751301588118949E-3</c:v>
                </c:pt>
                <c:pt idx="79">
                  <c:v>-4.7739477786438167E-3</c:v>
                </c:pt>
                <c:pt idx="80">
                  <c:v>1.5173567984854142E-3</c:v>
                </c:pt>
                <c:pt idx="81">
                  <c:v>-1.9256145838424499E-2</c:v>
                </c:pt>
                <c:pt idx="82">
                  <c:v>4.908558329595869E-2</c:v>
                </c:pt>
                <c:pt idx="83">
                  <c:v>-6.5077521089159651E-3</c:v>
                </c:pt>
                <c:pt idx="84">
                  <c:v>1.2431308149416509E-2</c:v>
                </c:pt>
                <c:pt idx="85">
                  <c:v>-1.5442757969303389E-2</c:v>
                </c:pt>
                <c:pt idx="86">
                  <c:v>-2.6957003587049111E-2</c:v>
                </c:pt>
                <c:pt idx="87">
                  <c:v>1.9714088533961949E-4</c:v>
                </c:pt>
                <c:pt idx="88">
                  <c:v>-1.0744169965270389E-2</c:v>
                </c:pt>
                <c:pt idx="89">
                  <c:v>-1.7636548425667642E-2</c:v>
                </c:pt>
                <c:pt idx="90">
                  <c:v>-5.8119446520719986E-2</c:v>
                </c:pt>
                <c:pt idx="91">
                  <c:v>1.5830303682963454E-2</c:v>
                </c:pt>
                <c:pt idx="92">
                  <c:v>1.1979200424484304E-2</c:v>
                </c:pt>
                <c:pt idx="93">
                  <c:v>-4.3997485857949492E-3</c:v>
                </c:pt>
                <c:pt idx="94">
                  <c:v>-5.6818181818182323E-3</c:v>
                </c:pt>
                <c:pt idx="95">
                  <c:v>-3.1269862433862317E-2</c:v>
                </c:pt>
                <c:pt idx="96">
                  <c:v>1.9170965517963046E-2</c:v>
                </c:pt>
                <c:pt idx="97">
                  <c:v>-2.0471638993713182E-2</c:v>
                </c:pt>
                <c:pt idx="98">
                  <c:v>-1.7069679395995241E-2</c:v>
                </c:pt>
                <c:pt idx="99">
                  <c:v>-3.840609955680474E-3</c:v>
                </c:pt>
                <c:pt idx="100">
                  <c:v>-4.1347935408169167E-3</c:v>
                </c:pt>
                <c:pt idx="101">
                  <c:v>-4.7690737758866453E-3</c:v>
                </c:pt>
                <c:pt idx="102">
                  <c:v>5.1866049117914592E-3</c:v>
                </c:pt>
                <c:pt idx="103">
                  <c:v>-1.8115512773628439E-2</c:v>
                </c:pt>
                <c:pt idx="104">
                  <c:v>-1.0110264003643565E-2</c:v>
                </c:pt>
                <c:pt idx="105">
                  <c:v>3.658393452777986E-2</c:v>
                </c:pt>
                <c:pt idx="106">
                  <c:v>1.614335337341366E-2</c:v>
                </c:pt>
                <c:pt idx="107">
                  <c:v>1.4681758066473316E-2</c:v>
                </c:pt>
                <c:pt idx="108">
                  <c:v>2.6616952812871242E-2</c:v>
                </c:pt>
                <c:pt idx="109">
                  <c:v>1.277942730599757E-2</c:v>
                </c:pt>
                <c:pt idx="110">
                  <c:v>1.1579582511164199E-2</c:v>
                </c:pt>
                <c:pt idx="111">
                  <c:v>-3.1825471625184232E-3</c:v>
                </c:pt>
                <c:pt idx="112">
                  <c:v>-2.0604562117410019E-4</c:v>
                </c:pt>
                <c:pt idx="113">
                  <c:v>-7.2623644506768503E-3</c:v>
                </c:pt>
                <c:pt idx="114">
                  <c:v>5.9665662349990267E-3</c:v>
                </c:pt>
                <c:pt idx="115">
                  <c:v>2.3518469235133344E-2</c:v>
                </c:pt>
                <c:pt idx="116">
                  <c:v>-2.9226506006078123E-3</c:v>
                </c:pt>
                <c:pt idx="117">
                  <c:v>8.0356397237708599E-3</c:v>
                </c:pt>
                <c:pt idx="118">
                  <c:v>-3.4092448246567653E-3</c:v>
                </c:pt>
                <c:pt idx="119">
                  <c:v>-1.0061374383740773E-3</c:v>
                </c:pt>
                <c:pt idx="120">
                  <c:v>-1.5157578809547823E-2</c:v>
                </c:pt>
                <c:pt idx="121">
                  <c:v>2.1629062877575711E-2</c:v>
                </c:pt>
                <c:pt idx="122">
                  <c:v>-3.0030029428829152E-4</c:v>
                </c:pt>
                <c:pt idx="123">
                  <c:v>-9.111865242578121E-3</c:v>
                </c:pt>
                <c:pt idx="124">
                  <c:v>1.8340763945028371E-2</c:v>
                </c:pt>
                <c:pt idx="125">
                  <c:v>5.8545868349375585E-3</c:v>
                </c:pt>
                <c:pt idx="126">
                  <c:v>8.2869236578093641E-3</c:v>
                </c:pt>
                <c:pt idx="127">
                  <c:v>-8.8062226152096912E-4</c:v>
                </c:pt>
                <c:pt idx="128">
                  <c:v>-2.0613974844322036E-2</c:v>
                </c:pt>
                <c:pt idx="129">
                  <c:v>6.0993899390182627E-3</c:v>
                </c:pt>
                <c:pt idx="130">
                  <c:v>9.8886501711656916E-3</c:v>
                </c:pt>
                <c:pt idx="131">
                  <c:v>-7.2823698722112029E-3</c:v>
                </c:pt>
                <c:pt idx="132">
                  <c:v>7.6827955390335045E-3</c:v>
                </c:pt>
                <c:pt idx="133">
                  <c:v>9.3950022745694639E-3</c:v>
                </c:pt>
                <c:pt idx="134">
                  <c:v>-3.4599092262594944E-3</c:v>
                </c:pt>
                <c:pt idx="135">
                  <c:v>-5.6234327628361669E-3</c:v>
                </c:pt>
                <c:pt idx="136">
                  <c:v>1.1359704495315315E-2</c:v>
                </c:pt>
                <c:pt idx="137">
                  <c:v>-1.492758893459889E-2</c:v>
                </c:pt>
                <c:pt idx="138">
                  <c:v>2.2854060375222085E-2</c:v>
                </c:pt>
                <c:pt idx="139">
                  <c:v>7.8177589035808293E-3</c:v>
                </c:pt>
                <c:pt idx="140">
                  <c:v>-8.1400116479612983E-4</c:v>
                </c:pt>
                <c:pt idx="141">
                  <c:v>-7.9072027603391826E-3</c:v>
                </c:pt>
                <c:pt idx="142">
                  <c:v>3.4779247709801897E-3</c:v>
                </c:pt>
                <c:pt idx="143">
                  <c:v>9.3385383780006936E-3</c:v>
                </c:pt>
                <c:pt idx="144">
                  <c:v>-4.2922168749415235E-3</c:v>
                </c:pt>
                <c:pt idx="145">
                  <c:v>2.0404214963119172E-2</c:v>
                </c:pt>
                <c:pt idx="146">
                  <c:v>-2.1639129614687613E-2</c:v>
                </c:pt>
                <c:pt idx="147">
                  <c:v>-2.1158125842081321E-2</c:v>
                </c:pt>
                <c:pt idx="148">
                  <c:v>-5.234784722384378E-2</c:v>
                </c:pt>
                <c:pt idx="149">
                  <c:v>1.8930402791567102E-2</c:v>
                </c:pt>
                <c:pt idx="150">
                  <c:v>1.0355289340101548E-2</c:v>
                </c:pt>
                <c:pt idx="151">
                  <c:v>2.2055869053692501E-2</c:v>
                </c:pt>
                <c:pt idx="152">
                  <c:v>-1.1994239276183039E-2</c:v>
                </c:pt>
                <c:pt idx="153">
                  <c:v>-2.5374794260912825E-3</c:v>
                </c:pt>
                <c:pt idx="154">
                  <c:v>4.2348384723631005E-2</c:v>
                </c:pt>
                <c:pt idx="155">
                  <c:v>-2.9765038043738312E-2</c:v>
                </c:pt>
                <c:pt idx="156">
                  <c:v>-4.9814845869297075E-3</c:v>
                </c:pt>
                <c:pt idx="157">
                  <c:v>2.3594705589477405E-2</c:v>
                </c:pt>
                <c:pt idx="158">
                  <c:v>1.8644106537530236E-2</c:v>
                </c:pt>
                <c:pt idx="159">
                  <c:v>4.7501780936487492E-5</c:v>
                </c:pt>
                <c:pt idx="160">
                  <c:v>1.0838562464346779E-2</c:v>
                </c:pt>
                <c:pt idx="161">
                  <c:v>-8.4646350639583368E-4</c:v>
                </c:pt>
                <c:pt idx="162">
                  <c:v>-4.6220500942464438E-2</c:v>
                </c:pt>
                <c:pt idx="163">
                  <c:v>1.8999230161863556E-2</c:v>
                </c:pt>
                <c:pt idx="164">
                  <c:v>-1.1283839192525846E-2</c:v>
                </c:pt>
                <c:pt idx="165">
                  <c:v>6.7104034735423479E-3</c:v>
                </c:pt>
                <c:pt idx="166">
                  <c:v>1.6931815306767906E-2</c:v>
                </c:pt>
                <c:pt idx="167">
                  <c:v>-1.291765968934766E-3</c:v>
                </c:pt>
                <c:pt idx="168">
                  <c:v>-1.4563609953748946E-2</c:v>
                </c:pt>
                <c:pt idx="169">
                  <c:v>1.6966495225405831E-2</c:v>
                </c:pt>
                <c:pt idx="170">
                  <c:v>1.9551584309927206E-2</c:v>
                </c:pt>
                <c:pt idx="171">
                  <c:v>-9.3792198049502673E-5</c:v>
                </c:pt>
                <c:pt idx="172">
                  <c:v>4.2671106492939703E-3</c:v>
                </c:pt>
                <c:pt idx="173">
                  <c:v>1.1813027034598633E-2</c:v>
                </c:pt>
                <c:pt idx="174">
                  <c:v>3.1795109031750979E-2</c:v>
                </c:pt>
                <c:pt idx="175">
                  <c:v>-2.2362360076253474E-3</c:v>
                </c:pt>
                <c:pt idx="176">
                  <c:v>-1.9454014423847199E-2</c:v>
                </c:pt>
                <c:pt idx="177">
                  <c:v>5.2571062857142969E-3</c:v>
                </c:pt>
                <c:pt idx="178">
                  <c:v>3.6380356030207839E-3</c:v>
                </c:pt>
                <c:pt idx="179">
                  <c:v>9.3792842660496145E-3</c:v>
                </c:pt>
                <c:pt idx="180">
                  <c:v>-8.1249538425290924E-3</c:v>
                </c:pt>
                <c:pt idx="181">
                  <c:v>-1.4618084191959202E-2</c:v>
                </c:pt>
                <c:pt idx="182">
                  <c:v>4.5469343599309209E-3</c:v>
                </c:pt>
                <c:pt idx="183">
                  <c:v>-4.7549743964886426E-3</c:v>
                </c:pt>
                <c:pt idx="184">
                  <c:v>1.5389599977567059E-2</c:v>
                </c:pt>
                <c:pt idx="185">
                  <c:v>-5.1576709044022229E-3</c:v>
                </c:pt>
                <c:pt idx="186">
                  <c:v>-4.8660330165082311E-3</c:v>
                </c:pt>
                <c:pt idx="187">
                  <c:v>2.3535288418415456E-2</c:v>
                </c:pt>
                <c:pt idx="188">
                  <c:v>2.7682100281287703E-3</c:v>
                </c:pt>
                <c:pt idx="189">
                  <c:v>-2.506784852518551E-2</c:v>
                </c:pt>
                <c:pt idx="190">
                  <c:v>8.49470191835211E-3</c:v>
                </c:pt>
                <c:pt idx="191">
                  <c:v>2.8031825811726252E-2</c:v>
                </c:pt>
                <c:pt idx="192">
                  <c:v>2.2025461821528758E-4</c:v>
                </c:pt>
                <c:pt idx="193">
                  <c:v>-1.1714983030300163E-2</c:v>
                </c:pt>
                <c:pt idx="194">
                  <c:v>1.1720178670951098E-2</c:v>
                </c:pt>
                <c:pt idx="195">
                  <c:v>1.3478377306963996E-2</c:v>
                </c:pt>
                <c:pt idx="196">
                  <c:v>2.6598340242484753E-2</c:v>
                </c:pt>
                <c:pt idx="197">
                  <c:v>-1.4394479001076377E-3</c:v>
                </c:pt>
                <c:pt idx="198">
                  <c:v>-2.3317421008477446E-3</c:v>
                </c:pt>
                <c:pt idx="199">
                  <c:v>-4.0371067809925609E-3</c:v>
                </c:pt>
                <c:pt idx="200">
                  <c:v>3.8827666319540821E-3</c:v>
                </c:pt>
                <c:pt idx="201">
                  <c:v>4.8028051683099982E-3</c:v>
                </c:pt>
                <c:pt idx="202">
                  <c:v>1.7342717865695745E-2</c:v>
                </c:pt>
                <c:pt idx="203">
                  <c:v>-2.2867573454202761E-3</c:v>
                </c:pt>
                <c:pt idx="204">
                  <c:v>1.3418836025376413E-2</c:v>
                </c:pt>
                <c:pt idx="205">
                  <c:v>1.6449050627487249E-3</c:v>
                </c:pt>
                <c:pt idx="206">
                  <c:v>1.2316282124969158E-2</c:v>
                </c:pt>
                <c:pt idx="207">
                  <c:v>1.0017049233514541E-2</c:v>
                </c:pt>
                <c:pt idx="208">
                  <c:v>-2.3127933778310572E-2</c:v>
                </c:pt>
                <c:pt idx="209">
                  <c:v>-1.2329319325232735E-4</c:v>
                </c:pt>
                <c:pt idx="210">
                  <c:v>2.2609553935863724E-2</c:v>
                </c:pt>
                <c:pt idx="211">
                  <c:v>2.8380817307940509E-2</c:v>
                </c:pt>
                <c:pt idx="212">
                  <c:v>6.5670860271414E-3</c:v>
                </c:pt>
                <c:pt idx="213">
                  <c:v>-1.4368776699029695E-3</c:v>
                </c:pt>
                <c:pt idx="214">
                  <c:v>4.2775249208171218E-4</c:v>
                </c:pt>
                <c:pt idx="215">
                  <c:v>8.5134507390283165E-3</c:v>
                </c:pt>
                <c:pt idx="216">
                  <c:v>2.7368616655547573E-3</c:v>
                </c:pt>
                <c:pt idx="217">
                  <c:v>7.9187970834906363E-3</c:v>
                </c:pt>
                <c:pt idx="218">
                  <c:v>-9.1540804353595906E-4</c:v>
                </c:pt>
                <c:pt idx="219">
                  <c:v>9.5816463454465595E-3</c:v>
                </c:pt>
                <c:pt idx="220">
                  <c:v>-6.9194388777555904E-3</c:v>
                </c:pt>
                <c:pt idx="221">
                  <c:v>1.1879347433484844E-2</c:v>
                </c:pt>
                <c:pt idx="222">
                  <c:v>5.0421431353959711E-3</c:v>
                </c:pt>
                <c:pt idx="223">
                  <c:v>-3.0325719795560868E-3</c:v>
                </c:pt>
                <c:pt idx="224">
                  <c:v>-1.1641458210478572E-2</c:v>
                </c:pt>
                <c:pt idx="225">
                  <c:v>-4.4834377524457514E-3</c:v>
                </c:pt>
                <c:pt idx="226">
                  <c:v>-8.7785959687480819E-4</c:v>
                </c:pt>
                <c:pt idx="227">
                  <c:v>1.7533791733516768E-2</c:v>
                </c:pt>
                <c:pt idx="228">
                  <c:v>-7.8086422316123727E-3</c:v>
                </c:pt>
                <c:pt idx="229">
                  <c:v>1.3432168801478017E-2</c:v>
                </c:pt>
                <c:pt idx="230">
                  <c:v>-2.2027927449640439E-3</c:v>
                </c:pt>
                <c:pt idx="231">
                  <c:v>-1.1562192703461149E-2</c:v>
                </c:pt>
                <c:pt idx="232">
                  <c:v>-1.7830072413233311E-2</c:v>
                </c:pt>
                <c:pt idx="233">
                  <c:v>8.8262859667933569E-3</c:v>
                </c:pt>
                <c:pt idx="234">
                  <c:v>1.4671032770567471E-2</c:v>
                </c:pt>
                <c:pt idx="235">
                  <c:v>1.931622950446088E-2</c:v>
                </c:pt>
                <c:pt idx="236">
                  <c:v>-1.4000148173326399E-2</c:v>
                </c:pt>
                <c:pt idx="237">
                  <c:v>5.8444475118635264E-3</c:v>
                </c:pt>
                <c:pt idx="238">
                  <c:v>8.5294096306880451E-3</c:v>
                </c:pt>
                <c:pt idx="239">
                  <c:v>2.5483031007114132E-3</c:v>
                </c:pt>
                <c:pt idx="240">
                  <c:v>1.3593163297521915E-2</c:v>
                </c:pt>
                <c:pt idx="241">
                  <c:v>1.7117907094105878E-2</c:v>
                </c:pt>
                <c:pt idx="242">
                  <c:v>1.9653399251249315E-3</c:v>
                </c:pt>
                <c:pt idx="243">
                  <c:v>-2.3894011998232267E-3</c:v>
                </c:pt>
                <c:pt idx="244">
                  <c:v>1.0009151641072744E-3</c:v>
                </c:pt>
                <c:pt idx="245">
                  <c:v>-2.0712235727973205E-3</c:v>
                </c:pt>
                <c:pt idx="246">
                  <c:v>1.631833643976055E-2</c:v>
                </c:pt>
                <c:pt idx="247">
                  <c:v>9.5066197183113488E-4</c:v>
                </c:pt>
                <c:pt idx="248">
                  <c:v>1.984034980154159E-2</c:v>
                </c:pt>
                <c:pt idx="249">
                  <c:v>-3.7948328268111453E-4</c:v>
                </c:pt>
                <c:pt idx="250">
                  <c:v>5.9351279200192675E-3</c:v>
                </c:pt>
                <c:pt idx="251">
                  <c:v>7.3065453062517438E-3</c:v>
                </c:pt>
                <c:pt idx="252">
                  <c:v>2.2816332990058363E-2</c:v>
                </c:pt>
                <c:pt idx="253">
                  <c:v>-9.7220440227189231E-3</c:v>
                </c:pt>
                <c:pt idx="254">
                  <c:v>7.9682482054463932E-3</c:v>
                </c:pt>
                <c:pt idx="255">
                  <c:v>-4.7030422162658292E-3</c:v>
                </c:pt>
                <c:pt idx="256">
                  <c:v>1.6086288892454004E-2</c:v>
                </c:pt>
                <c:pt idx="257">
                  <c:v>2.1240805814956909E-2</c:v>
                </c:pt>
                <c:pt idx="258">
                  <c:v>2.2607111421928394E-3</c:v>
                </c:pt>
                <c:pt idx="259">
                  <c:v>2.1364367790327687E-2</c:v>
                </c:pt>
                <c:pt idx="260">
                  <c:v>-1.3503281511945464E-2</c:v>
                </c:pt>
                <c:pt idx="261">
                  <c:v>-4.2855188508513775E-3</c:v>
                </c:pt>
                <c:pt idx="262">
                  <c:v>1.2526485675165233E-2</c:v>
                </c:pt>
                <c:pt idx="263">
                  <c:v>1.1070993809694007E-2</c:v>
                </c:pt>
                <c:pt idx="264">
                  <c:v>-6.7769080998874021E-3</c:v>
                </c:pt>
                <c:pt idx="265">
                  <c:v>3.5695232379691078E-3</c:v>
                </c:pt>
                <c:pt idx="266">
                  <c:v>4.8158638407604926E-3</c:v>
                </c:pt>
                <c:pt idx="267">
                  <c:v>-2.8819846675317562E-3</c:v>
                </c:pt>
                <c:pt idx="268">
                  <c:v>-2.9405246827372666E-2</c:v>
                </c:pt>
                <c:pt idx="269">
                  <c:v>2.8289340218572212E-2</c:v>
                </c:pt>
                <c:pt idx="270">
                  <c:v>2.0932329995500876E-2</c:v>
                </c:pt>
                <c:pt idx="271">
                  <c:v>-1.4490966448675868E-3</c:v>
                </c:pt>
                <c:pt idx="272">
                  <c:v>-4.4338741400422821E-2</c:v>
                </c:pt>
                <c:pt idx="273">
                  <c:v>-2.7462892249998649E-3</c:v>
                </c:pt>
                <c:pt idx="274">
                  <c:v>3.3013684532965826E-2</c:v>
                </c:pt>
                <c:pt idx="275">
                  <c:v>8.1543168724023118E-3</c:v>
                </c:pt>
                <c:pt idx="276">
                  <c:v>1.1696935323181723E-2</c:v>
                </c:pt>
                <c:pt idx="277">
                  <c:v>-1.5928145282817829E-2</c:v>
                </c:pt>
                <c:pt idx="278">
                  <c:v>4.7495172327594037E-3</c:v>
                </c:pt>
                <c:pt idx="279">
                  <c:v>-6.0332889827381386E-3</c:v>
                </c:pt>
                <c:pt idx="280">
                  <c:v>2.374778129584354E-2</c:v>
                </c:pt>
                <c:pt idx="281">
                  <c:v>-7.1210755334568665E-3</c:v>
                </c:pt>
                <c:pt idx="282">
                  <c:v>2.4630160059468942E-4</c:v>
                </c:pt>
                <c:pt idx="283">
                  <c:v>-1.8310545561697089E-2</c:v>
                </c:pt>
                <c:pt idx="284">
                  <c:v>1.4482746081504683E-2</c:v>
                </c:pt>
                <c:pt idx="285">
                  <c:v>-1.0258970524182454E-2</c:v>
                </c:pt>
                <c:pt idx="286">
                  <c:v>-2.263503050771265E-2</c:v>
                </c:pt>
                <c:pt idx="287">
                  <c:v>-4.7500388340535382E-2</c:v>
                </c:pt>
                <c:pt idx="288">
                  <c:v>-3.3872172080546603E-2</c:v>
                </c:pt>
                <c:pt idx="289">
                  <c:v>1.5863663532226902E-2</c:v>
                </c:pt>
                <c:pt idx="290">
                  <c:v>-6.5368202709535694E-2</c:v>
                </c:pt>
                <c:pt idx="291">
                  <c:v>-5.8498101425774607E-4</c:v>
                </c:pt>
                <c:pt idx="292">
                  <c:v>9.3100722452486018E-2</c:v>
                </c:pt>
                <c:pt idx="293">
                  <c:v>-3.1759272203196409E-2</c:v>
                </c:pt>
                <c:pt idx="294">
                  <c:v>4.6384569434962719E-2</c:v>
                </c:pt>
                <c:pt idx="295">
                  <c:v>-3.2437009511449011E-2</c:v>
                </c:pt>
                <c:pt idx="296">
                  <c:v>-1.3280116894164307E-2</c:v>
                </c:pt>
                <c:pt idx="297">
                  <c:v>-7.9092094246271949E-2</c:v>
                </c:pt>
                <c:pt idx="298">
                  <c:v>7.2021576946091237E-2</c:v>
                </c:pt>
                <c:pt idx="299">
                  <c:v>-3.4730511456234736E-2</c:v>
                </c:pt>
                <c:pt idx="300">
                  <c:v>-9.8754662854581343E-2</c:v>
                </c:pt>
                <c:pt idx="301">
                  <c:v>0.11980826040056836</c:v>
                </c:pt>
                <c:pt idx="302">
                  <c:v>-0.12864694751232164</c:v>
                </c:pt>
                <c:pt idx="303">
                  <c:v>4.3970074101975287E-2</c:v>
                </c:pt>
                <c:pt idx="304">
                  <c:v>-2.4479949379103139E-2</c:v>
                </c:pt>
                <c:pt idx="305">
                  <c:v>-7.6620586208293595E-3</c:v>
                </c:pt>
                <c:pt idx="306">
                  <c:v>-6.3485562545959606E-2</c:v>
                </c:pt>
                <c:pt idx="307">
                  <c:v>-2.1244145502632317E-2</c:v>
                </c:pt>
                <c:pt idx="308">
                  <c:v>0.10032539288363695</c:v>
                </c:pt>
                <c:pt idx="309">
                  <c:v>-5.5087491006360345E-3</c:v>
                </c:pt>
                <c:pt idx="310">
                  <c:v>5.262300337857595E-2</c:v>
                </c:pt>
                <c:pt idx="311">
                  <c:v>-4.1402259071316228E-2</c:v>
                </c:pt>
                <c:pt idx="312">
                  <c:v>2.8537950616970287E-2</c:v>
                </c:pt>
                <c:pt idx="313">
                  <c:v>-2.0407519648483197E-3</c:v>
                </c:pt>
                <c:pt idx="314">
                  <c:v>-5.2617045188314115E-2</c:v>
                </c:pt>
                <c:pt idx="315">
                  <c:v>1.6686679395846227E-2</c:v>
                </c:pt>
                <c:pt idx="316">
                  <c:v>-1.4371404544038069E-2</c:v>
                </c:pt>
                <c:pt idx="317">
                  <c:v>8.7237461791351611E-2</c:v>
                </c:pt>
                <c:pt idx="318">
                  <c:v>-1.158230654931991E-2</c:v>
                </c:pt>
                <c:pt idx="319">
                  <c:v>2.5594635180037129E-2</c:v>
                </c:pt>
                <c:pt idx="320">
                  <c:v>7.2160857754399732E-3</c:v>
                </c:pt>
                <c:pt idx="321">
                  <c:v>1.962762848248456E-2</c:v>
                </c:pt>
                <c:pt idx="322">
                  <c:v>5.0503158279963323E-2</c:v>
                </c:pt>
                <c:pt idx="323">
                  <c:v>-9.1273161802046809E-3</c:v>
                </c:pt>
                <c:pt idx="324">
                  <c:v>7.945758406518344E-3</c:v>
                </c:pt>
                <c:pt idx="325">
                  <c:v>-1.3568718635896371E-2</c:v>
                </c:pt>
                <c:pt idx="326">
                  <c:v>-2.075670526548945E-2</c:v>
                </c:pt>
                <c:pt idx="327">
                  <c:v>-3.0910324801511568E-2</c:v>
                </c:pt>
                <c:pt idx="328">
                  <c:v>2.8803562675463912E-2</c:v>
                </c:pt>
                <c:pt idx="329">
                  <c:v>-3.8754363237831768E-3</c:v>
                </c:pt>
                <c:pt idx="330">
                  <c:v>2.8869577864233165E-2</c:v>
                </c:pt>
                <c:pt idx="331">
                  <c:v>7.0683111283864619E-4</c:v>
                </c:pt>
                <c:pt idx="332">
                  <c:v>-1.6209428278019633E-2</c:v>
                </c:pt>
                <c:pt idx="333">
                  <c:v>3.2845230792385438E-2</c:v>
                </c:pt>
                <c:pt idx="334">
                  <c:v>2.1096082253664994E-2</c:v>
                </c:pt>
                <c:pt idx="335">
                  <c:v>-1.609931992236846E-2</c:v>
                </c:pt>
                <c:pt idx="336">
                  <c:v>1.4148807855569823E-2</c:v>
                </c:pt>
                <c:pt idx="337">
                  <c:v>1.5008841383424176E-2</c:v>
                </c:pt>
                <c:pt idx="338">
                  <c:v>1.0317273965818829E-2</c:v>
                </c:pt>
                <c:pt idx="339">
                  <c:v>1.0344902234043163E-2</c:v>
                </c:pt>
                <c:pt idx="340">
                  <c:v>2.1037769698762698E-2</c:v>
                </c:pt>
                <c:pt idx="341">
                  <c:v>1.5735349489113037E-2</c:v>
                </c:pt>
                <c:pt idx="342">
                  <c:v>-1.142822103607577E-2</c:v>
                </c:pt>
                <c:pt idx="343">
                  <c:v>-1.2074152890733769E-2</c:v>
                </c:pt>
                <c:pt idx="344">
                  <c:v>6.1433968767989899E-3</c:v>
                </c:pt>
                <c:pt idx="345">
                  <c:v>-5.9120499861200493E-3</c:v>
                </c:pt>
                <c:pt idx="346">
                  <c:v>2.3561145846703546E-2</c:v>
                </c:pt>
                <c:pt idx="347">
                  <c:v>-5.7784355036432089E-3</c:v>
                </c:pt>
                <c:pt idx="348">
                  <c:v>1.9448156379988202E-2</c:v>
                </c:pt>
                <c:pt idx="349">
                  <c:v>-7.4554519015586074E-3</c:v>
                </c:pt>
                <c:pt idx="350">
                  <c:v>6.4384028672646032E-3</c:v>
                </c:pt>
                <c:pt idx="351">
                  <c:v>-6.7735077663892973E-3</c:v>
                </c:pt>
                <c:pt idx="352">
                  <c:v>4.356934763731779E-3</c:v>
                </c:pt>
                <c:pt idx="353">
                  <c:v>4.4014965591276933E-4</c:v>
                </c:pt>
                <c:pt idx="354">
                  <c:v>-9.740644147683275E-4</c:v>
                </c:pt>
                <c:pt idx="355">
                  <c:v>1.2297930272404445E-2</c:v>
                </c:pt>
                <c:pt idx="356">
                  <c:v>4.6294483857833857E-3</c:v>
                </c:pt>
                <c:pt idx="357">
                  <c:v>5.5050412012747074E-3</c:v>
                </c:pt>
                <c:pt idx="358">
                  <c:v>-8.6121679209175683E-3</c:v>
                </c:pt>
                <c:pt idx="359">
                  <c:v>2.8480987131273672E-2</c:v>
                </c:pt>
                <c:pt idx="360">
                  <c:v>5.9124947209652223E-3</c:v>
                </c:pt>
                <c:pt idx="361">
                  <c:v>3.1578001117447352E-2</c:v>
                </c:pt>
                <c:pt idx="362">
                  <c:v>2.5727504304834614E-2</c:v>
                </c:pt>
                <c:pt idx="363">
                  <c:v>-4.8010441537359005E-2</c:v>
                </c:pt>
                <c:pt idx="364">
                  <c:v>8.6335101788272972E-3</c:v>
                </c:pt>
                <c:pt idx="365">
                  <c:v>1.2367190520679694E-2</c:v>
                </c:pt>
                <c:pt idx="366">
                  <c:v>2.6502219341723698E-2</c:v>
                </c:pt>
                <c:pt idx="367">
                  <c:v>-1.3917064777906329E-3</c:v>
                </c:pt>
                <c:pt idx="368">
                  <c:v>3.9823658691351405E-4</c:v>
                </c:pt>
                <c:pt idx="369">
                  <c:v>-5.7146445609536078E-3</c:v>
                </c:pt>
                <c:pt idx="370">
                  <c:v>2.616377673567416E-2</c:v>
                </c:pt>
                <c:pt idx="371">
                  <c:v>2.1344788044080243E-2</c:v>
                </c:pt>
                <c:pt idx="372">
                  <c:v>-1.7652044853081472E-2</c:v>
                </c:pt>
                <c:pt idx="373">
                  <c:v>1.3275565331062111E-2</c:v>
                </c:pt>
                <c:pt idx="374">
                  <c:v>-3.0725776019359441E-2</c:v>
                </c:pt>
                <c:pt idx="375">
                  <c:v>2.304667564350682E-2</c:v>
                </c:pt>
                <c:pt idx="376">
                  <c:v>8.3475814030626871E-3</c:v>
                </c:pt>
                <c:pt idx="377">
                  <c:v>-1.8914583955522701E-3</c:v>
                </c:pt>
                <c:pt idx="378">
                  <c:v>0</c:v>
                </c:pt>
                <c:pt idx="379">
                  <c:v>2.6750225008935757E-2</c:v>
                </c:pt>
                <c:pt idx="380">
                  <c:v>-3.1028593692046247E-3</c:v>
                </c:pt>
                <c:pt idx="381">
                  <c:v>2.3290112175909039E-2</c:v>
                </c:pt>
                <c:pt idx="382">
                  <c:v>4.3003173222888602E-3</c:v>
                </c:pt>
                <c:pt idx="383">
                  <c:v>1.7492597739117155E-3</c:v>
                </c:pt>
                <c:pt idx="384">
                  <c:v>-4.6131881695827825E-3</c:v>
                </c:pt>
                <c:pt idx="385">
                  <c:v>1.6548422229861082E-2</c:v>
                </c:pt>
                <c:pt idx="386">
                  <c:v>6.8773147811149737E-3</c:v>
                </c:pt>
                <c:pt idx="387">
                  <c:v>-1.2304927343155359E-2</c:v>
                </c:pt>
                <c:pt idx="388">
                  <c:v>-2.0202543657722449E-3</c:v>
                </c:pt>
                <c:pt idx="389">
                  <c:v>2.1073930301045207E-2</c:v>
                </c:pt>
                <c:pt idx="390">
                  <c:v>-1.3801672750968219E-2</c:v>
                </c:pt>
                <c:pt idx="391">
                  <c:v>2.8092680412370452E-3</c:v>
                </c:pt>
                <c:pt idx="392">
                  <c:v>-4.5516441394190976E-2</c:v>
                </c:pt>
                <c:pt idx="393">
                  <c:v>-2.4772793098466472E-3</c:v>
                </c:pt>
                <c:pt idx="394">
                  <c:v>2.3700265047783997E-2</c:v>
                </c:pt>
                <c:pt idx="395">
                  <c:v>-1.6427550183051198E-2</c:v>
                </c:pt>
                <c:pt idx="396">
                  <c:v>1.9168375771837054E-2</c:v>
                </c:pt>
                <c:pt idx="397">
                  <c:v>1.2100178744737233E-2</c:v>
                </c:pt>
                <c:pt idx="398">
                  <c:v>0.10468863489575542</c:v>
                </c:pt>
                <c:pt idx="399">
                  <c:v>2.5197609162476819E-2</c:v>
                </c:pt>
                <c:pt idx="400">
                  <c:v>6.6781503155479705E-3</c:v>
                </c:pt>
                <c:pt idx="401">
                  <c:v>3.6246659953069749E-3</c:v>
                </c:pt>
                <c:pt idx="402">
                  <c:v>3.4889231118682584E-2</c:v>
                </c:pt>
                <c:pt idx="403">
                  <c:v>-2.4494572972307838E-2</c:v>
                </c:pt>
                <c:pt idx="404">
                  <c:v>1.4534799922561348E-2</c:v>
                </c:pt>
                <c:pt idx="405">
                  <c:v>-2.9739868002573777E-2</c:v>
                </c:pt>
                <c:pt idx="406">
                  <c:v>3.3234304000000048E-2</c:v>
                </c:pt>
                <c:pt idx="407">
                  <c:v>1.769754857627559E-2</c:v>
                </c:pt>
                <c:pt idx="408">
                  <c:v>-8.9123552923686677E-4</c:v>
                </c:pt>
                <c:pt idx="409">
                  <c:v>-2.6108217252065469E-3</c:v>
                </c:pt>
                <c:pt idx="410">
                  <c:v>8.3328055900844245E-3</c:v>
                </c:pt>
                <c:pt idx="411">
                  <c:v>1.2547063277448256E-3</c:v>
                </c:pt>
                <c:pt idx="412">
                  <c:v>2.2189616633051745E-2</c:v>
                </c:pt>
                <c:pt idx="413">
                  <c:v>5.1532453155232139E-2</c:v>
                </c:pt>
                <c:pt idx="414">
                  <c:v>1.1960239319122712E-2</c:v>
                </c:pt>
                <c:pt idx="415">
                  <c:v>-8.2037305397570925E-3</c:v>
                </c:pt>
                <c:pt idx="416">
                  <c:v>1.3599055003381988E-2</c:v>
                </c:pt>
                <c:pt idx="417">
                  <c:v>-1.1954371846544021E-2</c:v>
                </c:pt>
                <c:pt idx="418">
                  <c:v>-1.6198623850913751E-3</c:v>
                </c:pt>
                <c:pt idx="419">
                  <c:v>3.39121438876957E-2</c:v>
                </c:pt>
                <c:pt idx="420">
                  <c:v>3.9832612204186768E-2</c:v>
                </c:pt>
                <c:pt idx="421">
                  <c:v>-2.0718431547391725E-2</c:v>
                </c:pt>
                <c:pt idx="422">
                  <c:v>-8.0060863625305734E-2</c:v>
                </c:pt>
                <c:pt idx="423">
                  <c:v>6.6182993038954585E-4</c:v>
                </c:pt>
                <c:pt idx="424">
                  <c:v>-6.7294965834118425E-2</c:v>
                </c:pt>
                <c:pt idx="425">
                  <c:v>3.9886544938840585E-2</c:v>
                </c:pt>
                <c:pt idx="426">
                  <c:v>-3.2645772246846172E-2</c:v>
                </c:pt>
                <c:pt idx="427">
                  <c:v>-1.3128892644794998E-2</c:v>
                </c:pt>
                <c:pt idx="428">
                  <c:v>3.0000008928571464E-2</c:v>
                </c:pt>
                <c:pt idx="429">
                  <c:v>1.5603328574866904E-3</c:v>
                </c:pt>
                <c:pt idx="430">
                  <c:v>-2.9513622732269207E-2</c:v>
                </c:pt>
                <c:pt idx="431">
                  <c:v>-1.5963623008034222E-2</c:v>
                </c:pt>
                <c:pt idx="432">
                  <c:v>-3.1720138905932171E-2</c:v>
                </c:pt>
                <c:pt idx="433">
                  <c:v>3.0325777997969983E-2</c:v>
                </c:pt>
                <c:pt idx="434">
                  <c:v>1.5715806400512289E-2</c:v>
                </c:pt>
                <c:pt idx="435">
                  <c:v>-4.1946114693607206E-2</c:v>
                </c:pt>
                <c:pt idx="436">
                  <c:v>1.0268838397997415E-2</c:v>
                </c:pt>
                <c:pt idx="437">
                  <c:v>3.7516151935722108E-2</c:v>
                </c:pt>
                <c:pt idx="438">
                  <c:v>2.3868899393203469E-2</c:v>
                </c:pt>
                <c:pt idx="439">
                  <c:v>-7.5678758487114361E-3</c:v>
                </c:pt>
                <c:pt idx="440">
                  <c:v>1.5075835395769399E-2</c:v>
                </c:pt>
                <c:pt idx="441">
                  <c:v>8.4621623083009911E-3</c:v>
                </c:pt>
                <c:pt idx="442">
                  <c:v>-3.2280194945798479E-2</c:v>
                </c:pt>
                <c:pt idx="443">
                  <c:v>3.079103780192094E-2</c:v>
                </c:pt>
                <c:pt idx="444">
                  <c:v>-2.8669493562231807E-2</c:v>
                </c:pt>
                <c:pt idx="445">
                  <c:v>1.69671079191549E-2</c:v>
                </c:pt>
                <c:pt idx="446">
                  <c:v>-9.5586546826786911E-4</c:v>
                </c:pt>
                <c:pt idx="447">
                  <c:v>1.7395842242360349E-2</c:v>
                </c:pt>
                <c:pt idx="448">
                  <c:v>6.3520568833713265E-2</c:v>
                </c:pt>
                <c:pt idx="449">
                  <c:v>-2.6527362917566522E-2</c:v>
                </c:pt>
                <c:pt idx="450">
                  <c:v>7.4322049121766653E-4</c:v>
                </c:pt>
                <c:pt idx="451">
                  <c:v>-3.9607475210703402E-3</c:v>
                </c:pt>
                <c:pt idx="452">
                  <c:v>-1.4000513743687382E-2</c:v>
                </c:pt>
                <c:pt idx="453">
                  <c:v>-2.5541875958877802E-2</c:v>
                </c:pt>
                <c:pt idx="454">
                  <c:v>1.3191920679636482E-2</c:v>
                </c:pt>
                <c:pt idx="455">
                  <c:v>-5.4463363893058059E-3</c:v>
                </c:pt>
                <c:pt idx="456">
                  <c:v>-9.5833231047319778E-3</c:v>
                </c:pt>
                <c:pt idx="457">
                  <c:v>-6.133900647948165E-3</c:v>
                </c:pt>
                <c:pt idx="458">
                  <c:v>8.6943671010475398E-5</c:v>
                </c:pt>
                <c:pt idx="459">
                  <c:v>1.3472359492246122E-2</c:v>
                </c:pt>
                <c:pt idx="460">
                  <c:v>-4.6312187758356549E-2</c:v>
                </c:pt>
                <c:pt idx="461">
                  <c:v>3.7050387690208186E-2</c:v>
                </c:pt>
                <c:pt idx="462">
                  <c:v>-5.601802809573353E-2</c:v>
                </c:pt>
                <c:pt idx="463">
                  <c:v>-8.2678669091684753E-4</c:v>
                </c:pt>
                <c:pt idx="464">
                  <c:v>1.5353544599251867E-2</c:v>
                </c:pt>
                <c:pt idx="465">
                  <c:v>4.0836607373476719E-2</c:v>
                </c:pt>
                <c:pt idx="466">
                  <c:v>3.5493711235155656E-2</c:v>
                </c:pt>
                <c:pt idx="467">
                  <c:v>-2.8563975708342237E-3</c:v>
                </c:pt>
                <c:pt idx="468">
                  <c:v>-1.996800033755175E-2</c:v>
                </c:pt>
                <c:pt idx="469">
                  <c:v>-3.0089322558458642E-3</c:v>
                </c:pt>
                <c:pt idx="470">
                  <c:v>3.0352651286085663E-2</c:v>
                </c:pt>
                <c:pt idx="471">
                  <c:v>-2.3432839960378926E-3</c:v>
                </c:pt>
                <c:pt idx="472">
                  <c:v>4.1945306953650174E-4</c:v>
                </c:pt>
                <c:pt idx="473">
                  <c:v>8.7204509689677856E-3</c:v>
                </c:pt>
                <c:pt idx="474">
                  <c:v>-7.5644553392072433E-3</c:v>
                </c:pt>
                <c:pt idx="475">
                  <c:v>-1.1391238892631161E-2</c:v>
                </c:pt>
                <c:pt idx="476">
                  <c:v>5.1681776257577194E-3</c:v>
                </c:pt>
                <c:pt idx="477">
                  <c:v>-1.0957543922433866E-2</c:v>
                </c:pt>
                <c:pt idx="478">
                  <c:v>-2.9742612229166965E-2</c:v>
                </c:pt>
                <c:pt idx="479">
                  <c:v>1.1594203102225809E-2</c:v>
                </c:pt>
                <c:pt idx="480">
                  <c:v>7.4672311794257151E-3</c:v>
                </c:pt>
                <c:pt idx="481">
                  <c:v>4.826312202243388E-3</c:v>
                </c:pt>
                <c:pt idx="482">
                  <c:v>2.1099640487165061E-2</c:v>
                </c:pt>
                <c:pt idx="483">
                  <c:v>3.0827365875832902E-2</c:v>
                </c:pt>
                <c:pt idx="484">
                  <c:v>2.9335152955221044E-3</c:v>
                </c:pt>
                <c:pt idx="485">
                  <c:v>-1.1374715447273198E-3</c:v>
                </c:pt>
                <c:pt idx="486">
                  <c:v>-5.6125100762566271E-3</c:v>
                </c:pt>
                <c:pt idx="487">
                  <c:v>1.2269938650306678E-2</c:v>
                </c:pt>
                <c:pt idx="488">
                  <c:v>5.0908848484849667E-3</c:v>
                </c:pt>
                <c:pt idx="489">
                  <c:v>-2.0903666688462774E-2</c:v>
                </c:pt>
                <c:pt idx="490">
                  <c:v>1.1988824207495696E-2</c:v>
                </c:pt>
                <c:pt idx="491">
                  <c:v>-6.7347777788830943E-3</c:v>
                </c:pt>
                <c:pt idx="492">
                  <c:v>-5.1466790246980088E-3</c:v>
                </c:pt>
                <c:pt idx="493">
                  <c:v>5.0090310807113791E-2</c:v>
                </c:pt>
                <c:pt idx="494">
                  <c:v>-5.4738036942558743E-4</c:v>
                </c:pt>
                <c:pt idx="495">
                  <c:v>6.9634536728495622E-3</c:v>
                </c:pt>
                <c:pt idx="496">
                  <c:v>-1.5850761830243032E-2</c:v>
                </c:pt>
                <c:pt idx="497">
                  <c:v>1.2395325678341118E-2</c:v>
                </c:pt>
                <c:pt idx="498">
                  <c:v>2.8464548965594583E-2</c:v>
                </c:pt>
                <c:pt idx="499">
                  <c:v>-6.9760233933872096E-3</c:v>
                </c:pt>
                <c:pt idx="500">
                  <c:v>7.7122323305924834E-3</c:v>
                </c:pt>
                <c:pt idx="501">
                  <c:v>3.5765711633206632E-2</c:v>
                </c:pt>
                <c:pt idx="502">
                  <c:v>-1.3314850928160871E-2</c:v>
                </c:pt>
                <c:pt idx="503">
                  <c:v>-8.5266852719909636E-3</c:v>
                </c:pt>
                <c:pt idx="504">
                  <c:v>-7.7026547434740911E-3</c:v>
                </c:pt>
                <c:pt idx="505">
                  <c:v>-2.4719255034753917E-2</c:v>
                </c:pt>
                <c:pt idx="506">
                  <c:v>1.2363735032417056E-2</c:v>
                </c:pt>
                <c:pt idx="507">
                  <c:v>-3.3661530938918105E-2</c:v>
                </c:pt>
                <c:pt idx="508">
                  <c:v>3.4123223287886528E-2</c:v>
                </c:pt>
                <c:pt idx="509">
                  <c:v>8.6312634987972814E-3</c:v>
                </c:pt>
                <c:pt idx="510">
                  <c:v>-2.3248821887569382E-2</c:v>
                </c:pt>
                <c:pt idx="511">
                  <c:v>-1.3955109752057382E-3</c:v>
                </c:pt>
                <c:pt idx="512">
                  <c:v>1.6226676640682891E-2</c:v>
                </c:pt>
                <c:pt idx="513">
                  <c:v>-1.5127167966438759E-2</c:v>
                </c:pt>
                <c:pt idx="514">
                  <c:v>-1.3730548018600519E-2</c:v>
                </c:pt>
                <c:pt idx="515">
                  <c:v>5.42711188789613E-3</c:v>
                </c:pt>
                <c:pt idx="516">
                  <c:v>3.2856113074300142E-2</c:v>
                </c:pt>
                <c:pt idx="517">
                  <c:v>3.6658305208348896E-2</c:v>
                </c:pt>
                <c:pt idx="518">
                  <c:v>1.607373478752594E-2</c:v>
                </c:pt>
                <c:pt idx="519">
                  <c:v>2.7683834085087788E-2</c:v>
                </c:pt>
                <c:pt idx="520">
                  <c:v>1.6793031301329808E-3</c:v>
                </c:pt>
                <c:pt idx="521">
                  <c:v>-7.6837522301269612E-3</c:v>
                </c:pt>
                <c:pt idx="522">
                  <c:v>-3.4985232084826512E-2</c:v>
                </c:pt>
                <c:pt idx="523">
                  <c:v>-3.7420593403475033E-2</c:v>
                </c:pt>
                <c:pt idx="524">
                  <c:v>1.6520096122759398E-2</c:v>
                </c:pt>
                <c:pt idx="525">
                  <c:v>6.3367079643410484E-3</c:v>
                </c:pt>
                <c:pt idx="526">
                  <c:v>-7.7783758879037546E-3</c:v>
                </c:pt>
                <c:pt idx="527">
                  <c:v>2.5757779218190446E-2</c:v>
                </c:pt>
                <c:pt idx="528">
                  <c:v>-4.5855157186512896E-3</c:v>
                </c:pt>
                <c:pt idx="529">
                  <c:v>1.0968777821320774E-3</c:v>
                </c:pt>
                <c:pt idx="530">
                  <c:v>-6.573727074027258E-3</c:v>
                </c:pt>
                <c:pt idx="531">
                  <c:v>-4.5584591044210976E-3</c:v>
                </c:pt>
                <c:pt idx="532">
                  <c:v>-1.9203338645418233E-3</c:v>
                </c:pt>
                <c:pt idx="533">
                  <c:v>1.7759934220380469E-3</c:v>
                </c:pt>
                <c:pt idx="534">
                  <c:v>-1.6103960113169835E-2</c:v>
                </c:pt>
                <c:pt idx="535">
                  <c:v>-1.764401204829158E-2</c:v>
                </c:pt>
                <c:pt idx="536">
                  <c:v>-8.6364187904746093E-3</c:v>
                </c:pt>
                <c:pt idx="537">
                  <c:v>1.2334283506745258E-3</c:v>
                </c:pt>
                <c:pt idx="538">
                  <c:v>-2.9798992446253614E-2</c:v>
                </c:pt>
                <c:pt idx="539">
                  <c:v>-1.1111031746031674E-3</c:v>
                </c:pt>
                <c:pt idx="540">
                  <c:v>-4.0521452085480192E-3</c:v>
                </c:pt>
                <c:pt idx="541">
                  <c:v>-3.4782609250620045E-2</c:v>
                </c:pt>
                <c:pt idx="542">
                  <c:v>2.2316224850256194E-3</c:v>
                </c:pt>
                <c:pt idx="543">
                  <c:v>5.3851219629701186E-2</c:v>
                </c:pt>
                <c:pt idx="544">
                  <c:v>-2.0893637836343792E-2</c:v>
                </c:pt>
                <c:pt idx="545">
                  <c:v>-2.4456561114372777E-2</c:v>
                </c:pt>
                <c:pt idx="546">
                  <c:v>-1.5811904240732422E-2</c:v>
                </c:pt>
                <c:pt idx="547">
                  <c:v>1.0738375361817543E-2</c:v>
                </c:pt>
                <c:pt idx="548">
                  <c:v>-4.1673505875037264E-2</c:v>
                </c:pt>
                <c:pt idx="549">
                  <c:v>4.0649664483932035E-2</c:v>
                </c:pt>
                <c:pt idx="550">
                  <c:v>-9.1666779805658072E-3</c:v>
                </c:pt>
                <c:pt idx="551">
                  <c:v>1.6502716706883191E-2</c:v>
                </c:pt>
                <c:pt idx="552">
                  <c:v>-7.6254510300545197E-3</c:v>
                </c:pt>
                <c:pt idx="553">
                  <c:v>2.4456738200914874E-2</c:v>
                </c:pt>
                <c:pt idx="554">
                  <c:v>1.274297947807046E-2</c:v>
                </c:pt>
                <c:pt idx="555">
                  <c:v>-6.4505694035198458E-3</c:v>
                </c:pt>
                <c:pt idx="556">
                  <c:v>-3.3905121290395579E-2</c:v>
                </c:pt>
                <c:pt idx="557">
                  <c:v>-4.4802207291149143E-3</c:v>
                </c:pt>
                <c:pt idx="558">
                  <c:v>2.8335703447549099E-2</c:v>
                </c:pt>
                <c:pt idx="559">
                  <c:v>-6.8887106482592442E-3</c:v>
                </c:pt>
                <c:pt idx="560">
                  <c:v>-1.9993512159347859E-2</c:v>
                </c:pt>
                <c:pt idx="561">
                  <c:v>4.1635441473408807E-3</c:v>
                </c:pt>
                <c:pt idx="562">
                  <c:v>5.1414132230338527E-3</c:v>
                </c:pt>
                <c:pt idx="563">
                  <c:v>1.4850260002066129E-3</c:v>
                </c:pt>
                <c:pt idx="564">
                  <c:v>-1.2274462577431922E-2</c:v>
                </c:pt>
                <c:pt idx="565">
                  <c:v>1.8765637718671568E-2</c:v>
                </c:pt>
                <c:pt idx="566">
                  <c:v>6.9586409012092343E-3</c:v>
                </c:pt>
                <c:pt idx="567">
                  <c:v>2.3577252032520368E-2</c:v>
                </c:pt>
                <c:pt idx="568">
                  <c:v>2.462247776612303E-3</c:v>
                </c:pt>
                <c:pt idx="569">
                  <c:v>1.3390404986850513E-2</c:v>
                </c:pt>
                <c:pt idx="570">
                  <c:v>1.9233768268432261E-2</c:v>
                </c:pt>
                <c:pt idx="571">
                  <c:v>2.0251603097179993E-2</c:v>
                </c:pt>
                <c:pt idx="572">
                  <c:v>-1.3233045112782005E-2</c:v>
                </c:pt>
                <c:pt idx="573">
                  <c:v>2.430652147567347E-2</c:v>
                </c:pt>
                <c:pt idx="574">
                  <c:v>-1.7853114074029564E-2</c:v>
                </c:pt>
                <c:pt idx="575">
                  <c:v>1.8707877139346074E-2</c:v>
                </c:pt>
                <c:pt idx="576">
                  <c:v>-2.5278513011153247E-3</c:v>
                </c:pt>
                <c:pt idx="577">
                  <c:v>5.0685150546061486E-3</c:v>
                </c:pt>
                <c:pt idx="578">
                  <c:v>-1.2829984064965383E-2</c:v>
                </c:pt>
                <c:pt idx="579">
                  <c:v>2.9299000606273218E-3</c:v>
                </c:pt>
                <c:pt idx="580">
                  <c:v>-1.1685378277153657E-2</c:v>
                </c:pt>
                <c:pt idx="581">
                  <c:v>1.8038539972130785E-2</c:v>
                </c:pt>
                <c:pt idx="582">
                  <c:v>2.9779182486193712E-3</c:v>
                </c:pt>
                <c:pt idx="583">
                  <c:v>-2.4495397680408537E-3</c:v>
                </c:pt>
                <c:pt idx="584">
                  <c:v>-6.0272118909679984E-3</c:v>
                </c:pt>
                <c:pt idx="585">
                  <c:v>-7.4865996782969013E-4</c:v>
                </c:pt>
                <c:pt idx="586">
                  <c:v>-1.5133271355507127E-2</c:v>
                </c:pt>
                <c:pt idx="587">
                  <c:v>8.2153198120551441E-3</c:v>
                </c:pt>
                <c:pt idx="588">
                  <c:v>-3.5385508131119403E-2</c:v>
                </c:pt>
                <c:pt idx="589">
                  <c:v>1.9554791076337175E-3</c:v>
                </c:pt>
                <c:pt idx="590">
                  <c:v>1.2802489642350201E-2</c:v>
                </c:pt>
                <c:pt idx="591">
                  <c:v>3.622645150969328E-3</c:v>
                </c:pt>
                <c:pt idx="592">
                  <c:v>-2.5804537434668817E-2</c:v>
                </c:pt>
                <c:pt idx="593">
                  <c:v>-7.4102799749353743E-3</c:v>
                </c:pt>
                <c:pt idx="594">
                  <c:v>-2.4938502900849646E-2</c:v>
                </c:pt>
                <c:pt idx="595">
                  <c:v>1.7919720239139458E-2</c:v>
                </c:pt>
                <c:pt idx="596">
                  <c:v>1.9844730576580538E-2</c:v>
                </c:pt>
                <c:pt idx="597">
                  <c:v>-9.2585329758775314E-3</c:v>
                </c:pt>
                <c:pt idx="598">
                  <c:v>-1.124573559623987E-2</c:v>
                </c:pt>
                <c:pt idx="599">
                  <c:v>-1.2815058274969759E-3</c:v>
                </c:pt>
                <c:pt idx="600">
                  <c:v>2.1012077616294977E-2</c:v>
                </c:pt>
                <c:pt idx="601">
                  <c:v>-1.4767088441867582E-2</c:v>
                </c:pt>
                <c:pt idx="602">
                  <c:v>1.3314183209758301E-2</c:v>
                </c:pt>
                <c:pt idx="603">
                  <c:v>-1.5735326762160717E-3</c:v>
                </c:pt>
                <c:pt idx="604">
                  <c:v>-3.9404254698116592E-4</c:v>
                </c:pt>
                <c:pt idx="605">
                  <c:v>-1.2376815331128332E-2</c:v>
                </c:pt>
                <c:pt idx="606">
                  <c:v>-5.348004512675697E-3</c:v>
                </c:pt>
                <c:pt idx="607">
                  <c:v>-2.6482786080709309E-3</c:v>
                </c:pt>
                <c:pt idx="608">
                  <c:v>6.2761426317681224E-3</c:v>
                </c:pt>
                <c:pt idx="609">
                  <c:v>-1.2154142206207252E-2</c:v>
                </c:pt>
                <c:pt idx="610">
                  <c:v>1.9022162708255186E-2</c:v>
                </c:pt>
                <c:pt idx="611">
                  <c:v>7.9458257839837287E-5</c:v>
                </c:pt>
                <c:pt idx="612">
                  <c:v>6.6719299972688439E-3</c:v>
                </c:pt>
                <c:pt idx="613">
                  <c:v>3.0771580097390672E-3</c:v>
                </c:pt>
                <c:pt idx="614">
                  <c:v>-8.0232519788386858E-3</c:v>
                </c:pt>
                <c:pt idx="615">
                  <c:v>9.8326618838104896E-3</c:v>
                </c:pt>
                <c:pt idx="616">
                  <c:v>2.4577919506524104E-2</c:v>
                </c:pt>
                <c:pt idx="617">
                  <c:v>-6.4377454456697736E-3</c:v>
                </c:pt>
                <c:pt idx="618">
                  <c:v>3.9339324586080693E-3</c:v>
                </c:pt>
                <c:pt idx="619">
                  <c:v>1.2600838076104903E-2</c:v>
                </c:pt>
                <c:pt idx="620">
                  <c:v>-1.00917070387887E-2</c:v>
                </c:pt>
                <c:pt idx="621">
                  <c:v>1.4103908487449468E-2</c:v>
                </c:pt>
                <c:pt idx="622">
                  <c:v>1.2698359500415091E-2</c:v>
                </c:pt>
                <c:pt idx="623">
                  <c:v>-2.0898567574222371E-3</c:v>
                </c:pt>
                <c:pt idx="624">
                  <c:v>-2.1689828459757754E-3</c:v>
                </c:pt>
                <c:pt idx="625">
                  <c:v>-2.2487294131253721E-3</c:v>
                </c:pt>
                <c:pt idx="626">
                  <c:v>1.2545999454992129E-2</c:v>
                </c:pt>
                <c:pt idx="627">
                  <c:v>1.1500244928774661E-2</c:v>
                </c:pt>
                <c:pt idx="628">
                  <c:v>4.6211764890899953E-3</c:v>
                </c:pt>
                <c:pt idx="629">
                  <c:v>2.2634125595510923E-3</c:v>
                </c:pt>
                <c:pt idx="630">
                  <c:v>1.9596437106536246E-2</c:v>
                </c:pt>
                <c:pt idx="631">
                  <c:v>1.4718468826598441E-2</c:v>
                </c:pt>
                <c:pt idx="632">
                  <c:v>1.7955238193064771E-2</c:v>
                </c:pt>
                <c:pt idx="633">
                  <c:v>-9.1997090378505009E-3</c:v>
                </c:pt>
                <c:pt idx="634">
                  <c:v>1.3054984185458585E-2</c:v>
                </c:pt>
                <c:pt idx="635">
                  <c:v>-4.2037143945716782E-3</c:v>
                </c:pt>
                <c:pt idx="636">
                  <c:v>7.8892664359859754E-3</c:v>
                </c:pt>
                <c:pt idx="637">
                  <c:v>2.410048766891304E-2</c:v>
                </c:pt>
                <c:pt idx="638">
                  <c:v>-4.4921087961961037E-3</c:v>
                </c:pt>
                <c:pt idx="639">
                  <c:v>-1.4075950002046089E-2</c:v>
                </c:pt>
                <c:pt idx="640">
                  <c:v>-2.6914420567760167E-2</c:v>
                </c:pt>
                <c:pt idx="641">
                  <c:v>2.5974005461018024E-2</c:v>
                </c:pt>
                <c:pt idx="642">
                  <c:v>-5.1317142031493956E-3</c:v>
                </c:pt>
                <c:pt idx="643">
                  <c:v>9.6286730245671581E-3</c:v>
                </c:pt>
                <c:pt idx="644">
                  <c:v>1.1989066512485103E-2</c:v>
                </c:pt>
                <c:pt idx="645">
                  <c:v>2.8945005774703159E-3</c:v>
                </c:pt>
                <c:pt idx="646">
                  <c:v>-1.4900335092947969E-2</c:v>
                </c:pt>
                <c:pt idx="647">
                  <c:v>-1.2196007026067823E-2</c:v>
                </c:pt>
                <c:pt idx="648">
                  <c:v>4.5523728666676533E-3</c:v>
                </c:pt>
                <c:pt idx="649">
                  <c:v>1.510587760990223E-3</c:v>
                </c:pt>
                <c:pt idx="650">
                  <c:v>-2.3309817473537997E-3</c:v>
                </c:pt>
                <c:pt idx="651">
                  <c:v>1.2644289097188288E-2</c:v>
                </c:pt>
                <c:pt idx="652">
                  <c:v>-2.7823289713468924E-3</c:v>
                </c:pt>
                <c:pt idx="653">
                  <c:v>7.4856075022577961E-4</c:v>
                </c:pt>
                <c:pt idx="654">
                  <c:v>-6.2559432375350887E-3</c:v>
                </c:pt>
                <c:pt idx="655">
                  <c:v>-3.4215820680261189E-4</c:v>
                </c:pt>
                <c:pt idx="656">
                  <c:v>-3.3540284305298984E-3</c:v>
                </c:pt>
                <c:pt idx="657">
                  <c:v>1.7856798714692701E-3</c:v>
                </c:pt>
                <c:pt idx="658">
                  <c:v>2.0773330448557781E-2</c:v>
                </c:pt>
                <c:pt idx="659">
                  <c:v>1.410484259591005E-3</c:v>
                </c:pt>
                <c:pt idx="660">
                  <c:v>1.354788007184915E-2</c:v>
                </c:pt>
                <c:pt idx="661">
                  <c:v>-6.1540036445871804E-3</c:v>
                </c:pt>
                <c:pt idx="662">
                  <c:v>-2.5501038344749372E-2</c:v>
                </c:pt>
                <c:pt idx="663">
                  <c:v>2.3230117359727132E-3</c:v>
                </c:pt>
                <c:pt idx="664">
                  <c:v>1.015681684028924E-2</c:v>
                </c:pt>
                <c:pt idx="665">
                  <c:v>1.0257135970616948E-2</c:v>
                </c:pt>
                <c:pt idx="666">
                  <c:v>-6.0124237386482982E-4</c:v>
                </c:pt>
                <c:pt idx="667">
                  <c:v>-8.4212942260823986E-3</c:v>
                </c:pt>
                <c:pt idx="668">
                  <c:v>-5.5271501379944299E-3</c:v>
                </c:pt>
                <c:pt idx="669">
                  <c:v>7.1845807936292694E-3</c:v>
                </c:pt>
                <c:pt idx="670">
                  <c:v>3.0417152203883413E-2</c:v>
                </c:pt>
                <c:pt idx="671">
                  <c:v>-8.4247194496054334E-3</c:v>
                </c:pt>
                <c:pt idx="672">
                  <c:v>4.4786471121827098E-3</c:v>
                </c:pt>
                <c:pt idx="673">
                  <c:v>7.4749133655140909E-3</c:v>
                </c:pt>
                <c:pt idx="674">
                  <c:v>4.2304524919150044E-3</c:v>
                </c:pt>
                <c:pt idx="675">
                  <c:v>1.5489299763655762E-2</c:v>
                </c:pt>
                <c:pt idx="676">
                  <c:v>-1.0083610822852473E-2</c:v>
                </c:pt>
                <c:pt idx="677">
                  <c:v>-6.7048803642262289E-3</c:v>
                </c:pt>
                <c:pt idx="678">
                  <c:v>-3.3101874266806552E-2</c:v>
                </c:pt>
                <c:pt idx="679">
                  <c:v>3.8934147553641996E-3</c:v>
                </c:pt>
                <c:pt idx="680">
                  <c:v>-9.5620726935058409E-3</c:v>
                </c:pt>
                <c:pt idx="681">
                  <c:v>6.1436945093065187E-3</c:v>
                </c:pt>
                <c:pt idx="682">
                  <c:v>-1.6104542817583223E-3</c:v>
                </c:pt>
                <c:pt idx="683">
                  <c:v>-1.8347974517345378E-2</c:v>
                </c:pt>
                <c:pt idx="684">
                  <c:v>-2.1361057392319083E-2</c:v>
                </c:pt>
                <c:pt idx="685">
                  <c:v>3.4279487417385734E-3</c:v>
                </c:pt>
                <c:pt idx="686">
                  <c:v>1.6872433368939843E-2</c:v>
                </c:pt>
                <c:pt idx="687">
                  <c:v>6.7192043859085615E-3</c:v>
                </c:pt>
                <c:pt idx="688">
                  <c:v>6.1292650530631043E-4</c:v>
                </c:pt>
                <c:pt idx="689">
                  <c:v>-1.0549979724339575E-2</c:v>
                </c:pt>
                <c:pt idx="690">
                  <c:v>-2.3801273433351922E-2</c:v>
                </c:pt>
                <c:pt idx="691">
                  <c:v>6.4829678956250802E-3</c:v>
                </c:pt>
                <c:pt idx="692">
                  <c:v>-9.3117831084257308E-3</c:v>
                </c:pt>
                <c:pt idx="693">
                  <c:v>8.1271660777384458E-3</c:v>
                </c:pt>
                <c:pt idx="694">
                  <c:v>-2.4605644217552514E-2</c:v>
                </c:pt>
                <c:pt idx="695">
                  <c:v>1.4158416085657821E-2</c:v>
                </c:pt>
                <c:pt idx="696">
                  <c:v>6.3071291452969636E-3</c:v>
                </c:pt>
                <c:pt idx="697">
                  <c:v>9.0844577464790355E-3</c:v>
                </c:pt>
                <c:pt idx="698">
                  <c:v>-2.7217462422516325E-3</c:v>
                </c:pt>
                <c:pt idx="699">
                  <c:v>-6.2978309152328382E-4</c:v>
                </c:pt>
                <c:pt idx="700">
                  <c:v>-9.1030251257339101E-3</c:v>
                </c:pt>
                <c:pt idx="701">
                  <c:v>-4.2399195901322573E-3</c:v>
                </c:pt>
                <c:pt idx="702">
                  <c:v>2.022561151868274E-2</c:v>
                </c:pt>
                <c:pt idx="703">
                  <c:v>7.5125280854386745E-3</c:v>
                </c:pt>
                <c:pt idx="704">
                  <c:v>1.1806179558303764E-2</c:v>
                </c:pt>
                <c:pt idx="705">
                  <c:v>1.5080122516271777E-2</c:v>
                </c:pt>
                <c:pt idx="706">
                  <c:v>3.3611186932347437E-3</c:v>
                </c:pt>
                <c:pt idx="707">
                  <c:v>1.4739448436937863E-3</c:v>
                </c:pt>
                <c:pt idx="708">
                  <c:v>-5.2849479605284744E-3</c:v>
                </c:pt>
                <c:pt idx="709">
                  <c:v>-3.3629026382020477E-4</c:v>
                </c:pt>
                <c:pt idx="710">
                  <c:v>4.5748654774950825E-3</c:v>
                </c:pt>
                <c:pt idx="711">
                  <c:v>-3.147609013974928E-3</c:v>
                </c:pt>
                <c:pt idx="712">
                  <c:v>2.4991607994963694E-2</c:v>
                </c:pt>
                <c:pt idx="713">
                  <c:v>-1.8155626092355104E-2</c:v>
                </c:pt>
                <c:pt idx="714">
                  <c:v>-5.6074498209457424E-3</c:v>
                </c:pt>
                <c:pt idx="715">
                  <c:v>7.1159838224228444E-3</c:v>
                </c:pt>
                <c:pt idx="716">
                  <c:v>9.7986999120462936E-3</c:v>
                </c:pt>
                <c:pt idx="717">
                  <c:v>-3.4985674467434835E-3</c:v>
                </c:pt>
                <c:pt idx="718">
                  <c:v>2.1197137331876448E-3</c:v>
                </c:pt>
                <c:pt idx="719">
                  <c:v>-5.552597868539233E-3</c:v>
                </c:pt>
                <c:pt idx="720">
                  <c:v>2.4594256519621105E-3</c:v>
                </c:pt>
                <c:pt idx="721">
                  <c:v>-1.9163185719291764E-2</c:v>
                </c:pt>
                <c:pt idx="722">
                  <c:v>-3.380408374532573E-4</c:v>
                </c:pt>
                <c:pt idx="723">
                  <c:v>1.4336985674477054E-2</c:v>
                </c:pt>
                <c:pt idx="724">
                  <c:v>6.6637773630251473E-5</c:v>
                </c:pt>
                <c:pt idx="725">
                  <c:v>6.6666666666665986E-3</c:v>
                </c:pt>
                <c:pt idx="726">
                  <c:v>1.6490099337748365E-2</c:v>
                </c:pt>
                <c:pt idx="727">
                  <c:v>2.8535994900775519E-2</c:v>
                </c:pt>
                <c:pt idx="728">
                  <c:v>1.6976044117819944E-2</c:v>
                </c:pt>
                <c:pt idx="729">
                  <c:v>2.9274431094217235E-3</c:v>
                </c:pt>
                <c:pt idx="730">
                  <c:v>2.4220593113386535E-3</c:v>
                </c:pt>
                <c:pt idx="731">
                  <c:v>3.2835511236342096E-3</c:v>
                </c:pt>
                <c:pt idx="732">
                  <c:v>-3.1678423716457571E-2</c:v>
                </c:pt>
                <c:pt idx="733">
                  <c:v>2.1873649918674021E-2</c:v>
                </c:pt>
                <c:pt idx="734">
                  <c:v>3.1577620083074853E-2</c:v>
                </c:pt>
                <c:pt idx="735">
                  <c:v>-3.2062854832495269E-3</c:v>
                </c:pt>
                <c:pt idx="736">
                  <c:v>-6.129811103239402E-3</c:v>
                </c:pt>
                <c:pt idx="737">
                  <c:v>-1.1724469092710854E-2</c:v>
                </c:pt>
                <c:pt idx="738">
                  <c:v>2.1502787234374265E-2</c:v>
                </c:pt>
                <c:pt idx="739">
                  <c:v>3.544632078318255E-2</c:v>
                </c:pt>
                <c:pt idx="740">
                  <c:v>2.2783088909227978E-2</c:v>
                </c:pt>
                <c:pt idx="741">
                  <c:v>-2.9700936375360865E-3</c:v>
                </c:pt>
                <c:pt idx="742">
                  <c:v>2.8013285151389455E-2</c:v>
                </c:pt>
                <c:pt idx="743">
                  <c:v>-2.0674238294916214E-2</c:v>
                </c:pt>
                <c:pt idx="744">
                  <c:v>-8.0232329571174876E-3</c:v>
                </c:pt>
                <c:pt idx="745">
                  <c:v>2.8509154723694641E-2</c:v>
                </c:pt>
                <c:pt idx="746">
                  <c:v>-3.9263847641988092E-2</c:v>
                </c:pt>
                <c:pt idx="747">
                  <c:v>-6.5017765732549027E-3</c:v>
                </c:pt>
                <c:pt idx="748">
                  <c:v>-8.1219995800045908E-3</c:v>
                </c:pt>
                <c:pt idx="749">
                  <c:v>1.9086921944035273E-2</c:v>
                </c:pt>
                <c:pt idx="750">
                  <c:v>1.5318769428326107E-2</c:v>
                </c:pt>
                <c:pt idx="751">
                  <c:v>3.643816918946996E-3</c:v>
                </c:pt>
                <c:pt idx="752">
                  <c:v>2.2974829946532882E-2</c:v>
                </c:pt>
                <c:pt idx="753">
                  <c:v>-5.7672544139383275E-3</c:v>
                </c:pt>
                <c:pt idx="754">
                  <c:v>5.0204698262223957E-4</c:v>
                </c:pt>
                <c:pt idx="755">
                  <c:v>-6.5782582623967745E-3</c:v>
                </c:pt>
                <c:pt idx="756">
                  <c:v>-3.5352974781475144E-3</c:v>
                </c:pt>
                <c:pt idx="757">
                  <c:v>2.5004155121759908E-2</c:v>
                </c:pt>
                <c:pt idx="758">
                  <c:v>-1.2691599711323609E-2</c:v>
                </c:pt>
                <c:pt idx="759">
                  <c:v>-2.6599883582635764E-2</c:v>
                </c:pt>
                <c:pt idx="760">
                  <c:v>-1.6693334286454697E-2</c:v>
                </c:pt>
                <c:pt idx="761">
                  <c:v>9.8836046511618925E-4</c:v>
                </c:pt>
                <c:pt idx="762">
                  <c:v>1.1618749045938515E-4</c:v>
                </c:pt>
                <c:pt idx="763">
                  <c:v>1.6783785158443809E-2</c:v>
                </c:pt>
                <c:pt idx="764">
                  <c:v>2.5702364339703632E-3</c:v>
                </c:pt>
                <c:pt idx="765">
                  <c:v>-1.9028069384310786E-2</c:v>
                </c:pt>
                <c:pt idx="766">
                  <c:v>5.1106625807462169E-3</c:v>
                </c:pt>
                <c:pt idx="767">
                  <c:v>-1.8894111444740402E-2</c:v>
                </c:pt>
                <c:pt idx="768">
                  <c:v>-2.1024775835840281E-2</c:v>
                </c:pt>
                <c:pt idx="769">
                  <c:v>-1.034711569144231E-2</c:v>
                </c:pt>
                <c:pt idx="770">
                  <c:v>-1.2765127127990161E-2</c:v>
                </c:pt>
                <c:pt idx="771">
                  <c:v>-4.8642877935031192E-3</c:v>
                </c:pt>
                <c:pt idx="772">
                  <c:v>-1.1384705215465307E-2</c:v>
                </c:pt>
                <c:pt idx="773">
                  <c:v>-5.6325573014937014E-4</c:v>
                </c:pt>
                <c:pt idx="774">
                  <c:v>-2.9432086800273982E-3</c:v>
                </c:pt>
                <c:pt idx="775">
                  <c:v>6.9777671964717625E-2</c:v>
                </c:pt>
                <c:pt idx="776">
                  <c:v>2.6125737965998486E-2</c:v>
                </c:pt>
                <c:pt idx="777">
                  <c:v>-9.7263989571250153E-4</c:v>
                </c:pt>
                <c:pt idx="778">
                  <c:v>7.0442414120368557E-3</c:v>
                </c:pt>
                <c:pt idx="779">
                  <c:v>-1.6719756977246591E-2</c:v>
                </c:pt>
                <c:pt idx="780">
                  <c:v>-2.9496530809596244E-3</c:v>
                </c:pt>
                <c:pt idx="781">
                  <c:v>-4.2345553932047197E-3</c:v>
                </c:pt>
                <c:pt idx="782">
                  <c:v>1.8466724491047026E-2</c:v>
                </c:pt>
                <c:pt idx="783">
                  <c:v>8.2937538375136288E-3</c:v>
                </c:pt>
                <c:pt idx="784">
                  <c:v>-2.3598842884041571E-2</c:v>
                </c:pt>
                <c:pt idx="785">
                  <c:v>-2.0218429590356468E-2</c:v>
                </c:pt>
                <c:pt idx="786">
                  <c:v>1.4231854923103526E-3</c:v>
                </c:pt>
                <c:pt idx="787">
                  <c:v>2.3152462602070711E-2</c:v>
                </c:pt>
                <c:pt idx="788">
                  <c:v>-1.3889114516024703E-3</c:v>
                </c:pt>
                <c:pt idx="789">
                  <c:v>-2.1269185373471111E-2</c:v>
                </c:pt>
                <c:pt idx="790">
                  <c:v>-9.355767131816517E-3</c:v>
                </c:pt>
                <c:pt idx="791">
                  <c:v>-1.7812288981250091E-2</c:v>
                </c:pt>
                <c:pt idx="792">
                  <c:v>-2.5864166376283082E-2</c:v>
                </c:pt>
                <c:pt idx="793">
                  <c:v>1.6680189187472161E-2</c:v>
                </c:pt>
                <c:pt idx="794">
                  <c:v>1.2965472134525369E-2</c:v>
                </c:pt>
                <c:pt idx="795">
                  <c:v>1.6377858063285622E-3</c:v>
                </c:pt>
                <c:pt idx="796">
                  <c:v>-1.1627895216445472E-2</c:v>
                </c:pt>
                <c:pt idx="797">
                  <c:v>2.0588241800028939E-2</c:v>
                </c:pt>
                <c:pt idx="798">
                  <c:v>-1.9812800430029087E-3</c:v>
                </c:pt>
                <c:pt idx="799">
                  <c:v>-1.8408217972886276E-2</c:v>
                </c:pt>
                <c:pt idx="800">
                  <c:v>-2.3717564793988566E-2</c:v>
                </c:pt>
                <c:pt idx="801">
                  <c:v>-1.1676088920098859E-2</c:v>
                </c:pt>
                <c:pt idx="802">
                  <c:v>3.4997427146882254E-2</c:v>
                </c:pt>
                <c:pt idx="803">
                  <c:v>-2.718621099452978E-2</c:v>
                </c:pt>
                <c:pt idx="804">
                  <c:v>-2.3908704922818491E-2</c:v>
                </c:pt>
                <c:pt idx="805">
                  <c:v>-2.6562406167192076E-2</c:v>
                </c:pt>
                <c:pt idx="806">
                  <c:v>2.9677341311822758E-2</c:v>
                </c:pt>
                <c:pt idx="807">
                  <c:v>2.901541115521078E-2</c:v>
                </c:pt>
                <c:pt idx="808">
                  <c:v>6.4540323692969803E-3</c:v>
                </c:pt>
                <c:pt idx="809">
                  <c:v>2.0918945988013471E-2</c:v>
                </c:pt>
                <c:pt idx="810">
                  <c:v>8.5376816328255334E-3</c:v>
                </c:pt>
                <c:pt idx="811">
                  <c:v>2.0800591945803859E-2</c:v>
                </c:pt>
                <c:pt idx="812">
                  <c:v>8.2336212674127829E-3</c:v>
                </c:pt>
                <c:pt idx="813">
                  <c:v>2.2677867582721056E-2</c:v>
                </c:pt>
                <c:pt idx="814">
                  <c:v>3.7340953286684186E-3</c:v>
                </c:pt>
                <c:pt idx="815">
                  <c:v>5.0366586250192302E-3</c:v>
                </c:pt>
                <c:pt idx="816">
                  <c:v>1.9134401396318834E-2</c:v>
                </c:pt>
                <c:pt idx="817">
                  <c:v>-6.6495471247941529E-3</c:v>
                </c:pt>
                <c:pt idx="818">
                  <c:v>-1.777579416603936E-2</c:v>
                </c:pt>
                <c:pt idx="819">
                  <c:v>-1.7181318268247869E-3</c:v>
                </c:pt>
                <c:pt idx="820">
                  <c:v>2.3693442988852453E-2</c:v>
                </c:pt>
                <c:pt idx="821">
                  <c:v>-1.8941963472966061E-2</c:v>
                </c:pt>
                <c:pt idx="822">
                  <c:v>-1.8450794224275091E-2</c:v>
                </c:pt>
                <c:pt idx="823">
                  <c:v>1.8040912319838842E-3</c:v>
                </c:pt>
                <c:pt idx="824">
                  <c:v>-1.1908928848082367E-2</c:v>
                </c:pt>
                <c:pt idx="825">
                  <c:v>-2.5515880428382265E-2</c:v>
                </c:pt>
                <c:pt idx="826">
                  <c:v>1.1523402714932018E-2</c:v>
                </c:pt>
                <c:pt idx="827">
                  <c:v>1.6342538080817537E-2</c:v>
                </c:pt>
                <c:pt idx="828">
                  <c:v>-2.9988269835267589E-2</c:v>
                </c:pt>
                <c:pt idx="829">
                  <c:v>-1.3309093672718708E-3</c:v>
                </c:pt>
                <c:pt idx="830">
                  <c:v>1.4115144491391396E-2</c:v>
                </c:pt>
                <c:pt idx="831">
                  <c:v>-1.0155197496601875E-3</c:v>
                </c:pt>
                <c:pt idx="832">
                  <c:v>-4.8436166918284229E-3</c:v>
                </c:pt>
                <c:pt idx="833">
                  <c:v>-2.7821205718317477E-2</c:v>
                </c:pt>
                <c:pt idx="834">
                  <c:v>6.7372028380023874E-3</c:v>
                </c:pt>
                <c:pt idx="835">
                  <c:v>-3.7328105435655012E-2</c:v>
                </c:pt>
                <c:pt idx="836">
                  <c:v>-1.4668111964257768E-3</c:v>
                </c:pt>
                <c:pt idx="837">
                  <c:v>4.515546837779727E-2</c:v>
                </c:pt>
                <c:pt idx="838">
                  <c:v>-3.6604772895409199E-2</c:v>
                </c:pt>
                <c:pt idx="839">
                  <c:v>1.9664637602205826E-3</c:v>
                </c:pt>
                <c:pt idx="840">
                  <c:v>9.6226192241180009E-3</c:v>
                </c:pt>
                <c:pt idx="841">
                  <c:v>4.1008328091505675E-2</c:v>
                </c:pt>
                <c:pt idx="842">
                  <c:v>-5.5716177431245018E-2</c:v>
                </c:pt>
                <c:pt idx="843">
                  <c:v>3.2531414619343391E-3</c:v>
                </c:pt>
                <c:pt idx="844">
                  <c:v>-3.3189223252728994E-2</c:v>
                </c:pt>
                <c:pt idx="845">
                  <c:v>1.6112041511403996E-2</c:v>
                </c:pt>
                <c:pt idx="846">
                  <c:v>-5.1841274087155331E-2</c:v>
                </c:pt>
                <c:pt idx="847">
                  <c:v>-2.6894211604095553E-2</c:v>
                </c:pt>
                <c:pt idx="848">
                  <c:v>3.1916407574584804E-2</c:v>
                </c:pt>
                <c:pt idx="849">
                  <c:v>-1.0672340352985255E-2</c:v>
                </c:pt>
                <c:pt idx="850">
                  <c:v>2.5422647917813013E-2</c:v>
                </c:pt>
                <c:pt idx="851">
                  <c:v>-5.64191752740828E-2</c:v>
                </c:pt>
                <c:pt idx="852">
                  <c:v>-2.4641392043106447E-2</c:v>
                </c:pt>
                <c:pt idx="853">
                  <c:v>1.747287874162895E-3</c:v>
                </c:pt>
                <c:pt idx="854">
                  <c:v>4.0119232215109601E-2</c:v>
                </c:pt>
                <c:pt idx="855">
                  <c:v>-1.9215987567493653E-2</c:v>
                </c:pt>
                <c:pt idx="856">
                  <c:v>1.1399472703053082E-3</c:v>
                </c:pt>
                <c:pt idx="857">
                  <c:v>2.3199508306305017E-2</c:v>
                </c:pt>
                <c:pt idx="858">
                  <c:v>4.0756711926253297E-2</c:v>
                </c:pt>
                <c:pt idx="859">
                  <c:v>-5.3461842110810176E-3</c:v>
                </c:pt>
                <c:pt idx="860">
                  <c:v>-8.7334724196053148E-4</c:v>
                </c:pt>
                <c:pt idx="861">
                  <c:v>1.6811242568228746E-2</c:v>
                </c:pt>
                <c:pt idx="862">
                  <c:v>-3.855566252304965E-2</c:v>
                </c:pt>
                <c:pt idx="863">
                  <c:v>5.2276377346387459E-3</c:v>
                </c:pt>
                <c:pt idx="864">
                  <c:v>1.7585931419090928E-2</c:v>
                </c:pt>
                <c:pt idx="865">
                  <c:v>-5.0433727704686238E-3</c:v>
                </c:pt>
                <c:pt idx="866">
                  <c:v>-3.5955716060489196E-2</c:v>
                </c:pt>
                <c:pt idx="867">
                  <c:v>-3.8628673854659623E-2</c:v>
                </c:pt>
                <c:pt idx="868">
                  <c:v>-3.8284837807743055E-2</c:v>
                </c:pt>
                <c:pt idx="869">
                  <c:v>6.6726567078914112E-3</c:v>
                </c:pt>
                <c:pt idx="870">
                  <c:v>2.0111465053911592E-2</c:v>
                </c:pt>
                <c:pt idx="871">
                  <c:v>-3.9651445599646395E-2</c:v>
                </c:pt>
                <c:pt idx="872">
                  <c:v>1.1533138728788916E-2</c:v>
                </c:pt>
                <c:pt idx="873">
                  <c:v>3.2760695238076787E-2</c:v>
                </c:pt>
                <c:pt idx="874">
                  <c:v>-3.8271069340951591E-3</c:v>
                </c:pt>
                <c:pt idx="875">
                  <c:v>2.1573682087609125E-2</c:v>
                </c:pt>
                <c:pt idx="876">
                  <c:v>2.4517248151666893E-2</c:v>
                </c:pt>
                <c:pt idx="877">
                  <c:v>0</c:v>
                </c:pt>
                <c:pt idx="878">
                  <c:v>-2.9789650436548021E-2</c:v>
                </c:pt>
                <c:pt idx="879">
                  <c:v>1.3023821114321654E-2</c:v>
                </c:pt>
                <c:pt idx="880">
                  <c:v>-1.8027688516201623E-2</c:v>
                </c:pt>
                <c:pt idx="881">
                  <c:v>1.6164365007574899E-2</c:v>
                </c:pt>
                <c:pt idx="882">
                  <c:v>1.8930433545764291E-2</c:v>
                </c:pt>
                <c:pt idx="883">
                  <c:v>9.6072338175645644E-3</c:v>
                </c:pt>
                <c:pt idx="884">
                  <c:v>2.399949655750766E-2</c:v>
                </c:pt>
                <c:pt idx="885">
                  <c:v>4.7146359529359749E-3</c:v>
                </c:pt>
                <c:pt idx="886">
                  <c:v>-1.4757876110617185E-2</c:v>
                </c:pt>
                <c:pt idx="887">
                  <c:v>6.8337546363552715E-3</c:v>
                </c:pt>
                <c:pt idx="888">
                  <c:v>-2.5366515663195477E-3</c:v>
                </c:pt>
                <c:pt idx="889">
                  <c:v>2.0482479191611835E-2</c:v>
                </c:pt>
                <c:pt idx="890">
                  <c:v>1.1450104321074184E-2</c:v>
                </c:pt>
                <c:pt idx="891">
                  <c:v>-2.0643211302433295E-2</c:v>
                </c:pt>
                <c:pt idx="892">
                  <c:v>2.6721920262096743E-2</c:v>
                </c:pt>
                <c:pt idx="893">
                  <c:v>1.3509887417218591E-2</c:v>
                </c:pt>
                <c:pt idx="894">
                  <c:v>1.5094178683084492E-2</c:v>
                </c:pt>
                <c:pt idx="895">
                  <c:v>-8.1107817916659108E-3</c:v>
                </c:pt>
                <c:pt idx="896">
                  <c:v>-7.398267438465056E-3</c:v>
                </c:pt>
                <c:pt idx="897">
                  <c:v>-8.8263551911019755E-3</c:v>
                </c:pt>
                <c:pt idx="898">
                  <c:v>3.4234741389126411E-2</c:v>
                </c:pt>
                <c:pt idx="899">
                  <c:v>3.5717394285488258E-3</c:v>
                </c:pt>
                <c:pt idx="900">
                  <c:v>3.2793065162005641E-2</c:v>
                </c:pt>
                <c:pt idx="901">
                  <c:v>-6.153467668250201E-3</c:v>
                </c:pt>
                <c:pt idx="902">
                  <c:v>-9.2873509159603351E-3</c:v>
                </c:pt>
                <c:pt idx="903">
                  <c:v>3.8247673215663802E-2</c:v>
                </c:pt>
                <c:pt idx="904">
                  <c:v>-1.9262444493395314E-3</c:v>
                </c:pt>
                <c:pt idx="905">
                  <c:v>-2.7742114802993267E-3</c:v>
                </c:pt>
                <c:pt idx="906">
                  <c:v>-2.9029995922710272E-3</c:v>
                </c:pt>
                <c:pt idx="907">
                  <c:v>3.0328744778573835E-4</c:v>
                </c:pt>
                <c:pt idx="908">
                  <c:v>2.6194561316936316E-2</c:v>
                </c:pt>
                <c:pt idx="909">
                  <c:v>-4.4315763285400767E-3</c:v>
                </c:pt>
                <c:pt idx="910">
                  <c:v>2.1425609192664119E-2</c:v>
                </c:pt>
                <c:pt idx="911">
                  <c:v>6.3335035560661002E-3</c:v>
                </c:pt>
                <c:pt idx="912">
                  <c:v>-9.2385817975793039E-4</c:v>
                </c:pt>
                <c:pt idx="913">
                  <c:v>8.7846269940741184E-3</c:v>
                </c:pt>
                <c:pt idx="914">
                  <c:v>-2.2916585111717458E-3</c:v>
                </c:pt>
                <c:pt idx="915">
                  <c:v>-1.5101866727598057E-2</c:v>
                </c:pt>
                <c:pt idx="916">
                  <c:v>-2.3029366300621135E-2</c:v>
                </c:pt>
                <c:pt idx="917">
                  <c:v>-2.0290683642449903E-3</c:v>
                </c:pt>
                <c:pt idx="918">
                  <c:v>1.7939544769229876E-3</c:v>
                </c:pt>
                <c:pt idx="919">
                  <c:v>1.4922700500941355E-2</c:v>
                </c:pt>
                <c:pt idx="920">
                  <c:v>-3.7699253294708357E-2</c:v>
                </c:pt>
                <c:pt idx="921">
                  <c:v>-1.3690197215810773E-2</c:v>
                </c:pt>
                <c:pt idx="922">
                  <c:v>-1.5305495869826102E-2</c:v>
                </c:pt>
                <c:pt idx="923">
                  <c:v>-1.0634969211881673E-2</c:v>
                </c:pt>
                <c:pt idx="924">
                  <c:v>4.7068184409946312E-3</c:v>
                </c:pt>
                <c:pt idx="925">
                  <c:v>-1.3611097143088724E-2</c:v>
                </c:pt>
                <c:pt idx="926">
                  <c:v>-8.2151275042054994E-3</c:v>
                </c:pt>
                <c:pt idx="927">
                  <c:v>9.2539183928939117E-3</c:v>
                </c:pt>
                <c:pt idx="928">
                  <c:v>-9.6178502992757542E-3</c:v>
                </c:pt>
                <c:pt idx="929">
                  <c:v>1.8839750538144129E-2</c:v>
                </c:pt>
                <c:pt idx="930">
                  <c:v>3.8507963350955299E-2</c:v>
                </c:pt>
                <c:pt idx="931">
                  <c:v>-5.8679541153746406E-2</c:v>
                </c:pt>
                <c:pt idx="932">
                  <c:v>9.5553954642588756E-3</c:v>
                </c:pt>
                <c:pt idx="933">
                  <c:v>-1.8929901731117305E-2</c:v>
                </c:pt>
                <c:pt idx="934">
                  <c:v>-1.0960149995410839E-2</c:v>
                </c:pt>
                <c:pt idx="935">
                  <c:v>2.5082940114458108E-2</c:v>
                </c:pt>
                <c:pt idx="936">
                  <c:v>1.566544577072615E-2</c:v>
                </c:pt>
                <c:pt idx="937">
                  <c:v>-2.0267642585123369E-2</c:v>
                </c:pt>
                <c:pt idx="938">
                  <c:v>-6.3752016238928233E-3</c:v>
                </c:pt>
                <c:pt idx="939">
                  <c:v>-1.5123817758157077E-2</c:v>
                </c:pt>
                <c:pt idx="940">
                  <c:v>2.2602606914965406E-3</c:v>
                </c:pt>
                <c:pt idx="941">
                  <c:v>6.5662331613389746E-3</c:v>
                </c:pt>
                <c:pt idx="942">
                  <c:v>-1.2651548914455302E-2</c:v>
                </c:pt>
                <c:pt idx="943">
                  <c:v>-4.9119061642260098E-2</c:v>
                </c:pt>
                <c:pt idx="944">
                  <c:v>-3.0039297586729297E-2</c:v>
                </c:pt>
                <c:pt idx="945">
                  <c:v>3.0752533229071011E-2</c:v>
                </c:pt>
                <c:pt idx="946">
                  <c:v>2.5623089342711625E-2</c:v>
                </c:pt>
                <c:pt idx="947">
                  <c:v>2.0533058705007878E-3</c:v>
                </c:pt>
                <c:pt idx="948">
                  <c:v>-6.6256901622550046E-3</c:v>
                </c:pt>
                <c:pt idx="949">
                  <c:v>-3.6718677418900669E-2</c:v>
                </c:pt>
                <c:pt idx="950">
                  <c:v>2.3556428683171315E-3</c:v>
                </c:pt>
                <c:pt idx="951">
                  <c:v>-1.0254963826448638E-2</c:v>
                </c:pt>
                <c:pt idx="952">
                  <c:v>-4.604979266224607E-3</c:v>
                </c:pt>
                <c:pt idx="953">
                  <c:v>3.3612903964519214E-2</c:v>
                </c:pt>
                <c:pt idx="954">
                  <c:v>-3.2240015657038268E-2</c:v>
                </c:pt>
                <c:pt idx="955">
                  <c:v>2.9122697314543311E-2</c:v>
                </c:pt>
                <c:pt idx="956">
                  <c:v>9.409423231250047E-3</c:v>
                </c:pt>
                <c:pt idx="957">
                  <c:v>7.6522434782622106E-4</c:v>
                </c:pt>
                <c:pt idx="958">
                  <c:v>-3.2670790819750994E-3</c:v>
                </c:pt>
                <c:pt idx="959">
                  <c:v>2.7059104728775374E-2</c:v>
                </c:pt>
                <c:pt idx="960">
                  <c:v>1.4802695326877169E-2</c:v>
                </c:pt>
                <c:pt idx="961">
                  <c:v>1.9337564790985029E-2</c:v>
                </c:pt>
                <c:pt idx="962">
                  <c:v>-1.9627084669215811E-2</c:v>
                </c:pt>
                <c:pt idx="963">
                  <c:v>-3.0465368712472629E-2</c:v>
                </c:pt>
                <c:pt idx="964">
                  <c:v>7.5552498434685811E-2</c:v>
                </c:pt>
                <c:pt idx="965">
                  <c:v>-1.5410356510518808E-2</c:v>
                </c:pt>
                <c:pt idx="966">
                  <c:v>-1.7542729034635052E-2</c:v>
                </c:pt>
                <c:pt idx="967">
                  <c:v>-3.7304979912577974E-2</c:v>
                </c:pt>
                <c:pt idx="968">
                  <c:v>-4.240497857274339E-2</c:v>
                </c:pt>
                <c:pt idx="969">
                  <c:v>-3.6002302851300128E-3</c:v>
                </c:pt>
                <c:pt idx="970">
                  <c:v>3.9022472936027786E-3</c:v>
                </c:pt>
                <c:pt idx="971">
                  <c:v>4.1750792423709271E-3</c:v>
                </c:pt>
                <c:pt idx="972">
                  <c:v>-3.3190000000000053E-2</c:v>
                </c:pt>
                <c:pt idx="973">
                  <c:v>8.8974571401148284E-2</c:v>
                </c:pt>
                <c:pt idx="974">
                  <c:v>1.9268755336990351E-2</c:v>
                </c:pt>
                <c:pt idx="975">
                  <c:v>-9.4856247725909615E-3</c:v>
                </c:pt>
                <c:pt idx="976">
                  <c:v>1.1869395817840633E-2</c:v>
                </c:pt>
                <c:pt idx="977">
                  <c:v>-8.3311120922272552E-3</c:v>
                </c:pt>
                <c:pt idx="978">
                  <c:v>1.2971356212107432E-2</c:v>
                </c:pt>
                <c:pt idx="979">
                  <c:v>3.7817940301103636E-3</c:v>
                </c:pt>
                <c:pt idx="980">
                  <c:v>-2.1680204585639795E-2</c:v>
                </c:pt>
                <c:pt idx="981">
                  <c:v>1.4661158525138829E-2</c:v>
                </c:pt>
                <c:pt idx="982">
                  <c:v>5.9263153647903799E-3</c:v>
                </c:pt>
                <c:pt idx="983">
                  <c:v>-1.9593604705399836E-2</c:v>
                </c:pt>
                <c:pt idx="984">
                  <c:v>-2.6264262870405508E-2</c:v>
                </c:pt>
                <c:pt idx="985">
                  <c:v>-2.114826639059586E-2</c:v>
                </c:pt>
                <c:pt idx="986">
                  <c:v>4.8593901658906313E-2</c:v>
                </c:pt>
                <c:pt idx="987">
                  <c:v>1.8915017354015351E-3</c:v>
                </c:pt>
                <c:pt idx="988">
                  <c:v>-3.3713168818193529E-3</c:v>
                </c:pt>
                <c:pt idx="989">
                  <c:v>-7.9831744534628601E-3</c:v>
                </c:pt>
                <c:pt idx="990">
                  <c:v>-2.5369984813135793E-2</c:v>
                </c:pt>
                <c:pt idx="991">
                  <c:v>-1.3784913196139836E-2</c:v>
                </c:pt>
                <c:pt idx="992">
                  <c:v>1.2132765543738211E-2</c:v>
                </c:pt>
                <c:pt idx="993">
                  <c:v>-3.434910764875343E-3</c:v>
                </c:pt>
                <c:pt idx="994">
                  <c:v>1.6389989690771323E-2</c:v>
                </c:pt>
                <c:pt idx="995">
                  <c:v>6.7824483776577349E-3</c:v>
                </c:pt>
                <c:pt idx="996">
                  <c:v>-1.5535807963595216E-2</c:v>
                </c:pt>
                <c:pt idx="997">
                  <c:v>-4.6854316542279006E-2</c:v>
                </c:pt>
                <c:pt idx="998">
                  <c:v>-1.4578791208791131E-2</c:v>
                </c:pt>
                <c:pt idx="999">
                  <c:v>-1.5909598390811186E-2</c:v>
                </c:pt>
                <c:pt idx="1000">
                  <c:v>-5.2876031309045946E-4</c:v>
                </c:pt>
                <c:pt idx="1001">
                  <c:v>2.3809477918152355E-2</c:v>
                </c:pt>
                <c:pt idx="1002">
                  <c:v>-2.3772617728444856E-2</c:v>
                </c:pt>
                <c:pt idx="1003">
                  <c:v>-2.798117002136058E-3</c:v>
                </c:pt>
                <c:pt idx="1004">
                  <c:v>-1.3878370894294223E-2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0-44B5-BF7F-D10A8B5E0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069263"/>
        <c:axId val="860066351"/>
      </c:areaChart>
      <c:catAx>
        <c:axId val="860069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066351"/>
        <c:crosses val="autoZero"/>
        <c:auto val="1"/>
        <c:lblAlgn val="ctr"/>
        <c:lblOffset val="100"/>
        <c:noMultiLvlLbl val="1"/>
      </c:catAx>
      <c:valAx>
        <c:axId val="86006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069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Apple</a:t>
            </a:r>
            <a:r>
              <a:rPr lang="en-US" baseline="0"/>
              <a:t> 2020 Stock Return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[1]AAPL!$H$1</c:f>
              <c:strCache>
                <c:ptCount val="1"/>
                <c:pt idx="0">
                  <c:v>Stock Return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[1]AAPL!$A$2:$A$1006</c:f>
              <c:numCache>
                <c:formatCode>General</c:formatCode>
                <c:ptCount val="1005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43487</c:v>
                </c:pt>
                <c:pt idx="14">
                  <c:v>43488</c:v>
                </c:pt>
                <c:pt idx="15">
                  <c:v>43489</c:v>
                </c:pt>
                <c:pt idx="16">
                  <c:v>43490</c:v>
                </c:pt>
                <c:pt idx="17">
                  <c:v>43493</c:v>
                </c:pt>
                <c:pt idx="18">
                  <c:v>43494</c:v>
                </c:pt>
                <c:pt idx="19">
                  <c:v>43495</c:v>
                </c:pt>
                <c:pt idx="20">
                  <c:v>43496</c:v>
                </c:pt>
                <c:pt idx="21">
                  <c:v>43497</c:v>
                </c:pt>
                <c:pt idx="22">
                  <c:v>43500</c:v>
                </c:pt>
                <c:pt idx="23">
                  <c:v>43501</c:v>
                </c:pt>
                <c:pt idx="24">
                  <c:v>43502</c:v>
                </c:pt>
                <c:pt idx="25">
                  <c:v>43503</c:v>
                </c:pt>
                <c:pt idx="26">
                  <c:v>43504</c:v>
                </c:pt>
                <c:pt idx="27">
                  <c:v>43507</c:v>
                </c:pt>
                <c:pt idx="28">
                  <c:v>43508</c:v>
                </c:pt>
                <c:pt idx="29">
                  <c:v>43509</c:v>
                </c:pt>
                <c:pt idx="30">
                  <c:v>43510</c:v>
                </c:pt>
                <c:pt idx="31">
                  <c:v>43511</c:v>
                </c:pt>
                <c:pt idx="32">
                  <c:v>43515</c:v>
                </c:pt>
                <c:pt idx="33">
                  <c:v>43516</c:v>
                </c:pt>
                <c:pt idx="34">
                  <c:v>43517</c:v>
                </c:pt>
                <c:pt idx="35">
                  <c:v>43518</c:v>
                </c:pt>
                <c:pt idx="36">
                  <c:v>43521</c:v>
                </c:pt>
                <c:pt idx="37">
                  <c:v>43522</c:v>
                </c:pt>
                <c:pt idx="38">
                  <c:v>43523</c:v>
                </c:pt>
                <c:pt idx="39">
                  <c:v>43524</c:v>
                </c:pt>
                <c:pt idx="40">
                  <c:v>43525</c:v>
                </c:pt>
                <c:pt idx="41">
                  <c:v>43528</c:v>
                </c:pt>
                <c:pt idx="42">
                  <c:v>43529</c:v>
                </c:pt>
                <c:pt idx="43">
                  <c:v>43530</c:v>
                </c:pt>
                <c:pt idx="44">
                  <c:v>43531</c:v>
                </c:pt>
                <c:pt idx="45">
                  <c:v>43532</c:v>
                </c:pt>
                <c:pt idx="46">
                  <c:v>43535</c:v>
                </c:pt>
                <c:pt idx="47">
                  <c:v>43536</c:v>
                </c:pt>
                <c:pt idx="48">
                  <c:v>43537</c:v>
                </c:pt>
                <c:pt idx="49">
                  <c:v>43538</c:v>
                </c:pt>
                <c:pt idx="50">
                  <c:v>43539</c:v>
                </c:pt>
                <c:pt idx="51">
                  <c:v>43542</c:v>
                </c:pt>
                <c:pt idx="52">
                  <c:v>43543</c:v>
                </c:pt>
                <c:pt idx="53">
                  <c:v>43544</c:v>
                </c:pt>
                <c:pt idx="54">
                  <c:v>43545</c:v>
                </c:pt>
                <c:pt idx="55">
                  <c:v>43546</c:v>
                </c:pt>
                <c:pt idx="56">
                  <c:v>43549</c:v>
                </c:pt>
                <c:pt idx="57">
                  <c:v>43550</c:v>
                </c:pt>
                <c:pt idx="58">
                  <c:v>43551</c:v>
                </c:pt>
                <c:pt idx="59">
                  <c:v>43552</c:v>
                </c:pt>
                <c:pt idx="60">
                  <c:v>43553</c:v>
                </c:pt>
                <c:pt idx="61">
                  <c:v>43556</c:v>
                </c:pt>
                <c:pt idx="62">
                  <c:v>43557</c:v>
                </c:pt>
                <c:pt idx="63">
                  <c:v>43558</c:v>
                </c:pt>
                <c:pt idx="64">
                  <c:v>43559</c:v>
                </c:pt>
                <c:pt idx="65">
                  <c:v>43560</c:v>
                </c:pt>
                <c:pt idx="66">
                  <c:v>43563</c:v>
                </c:pt>
                <c:pt idx="67">
                  <c:v>43564</c:v>
                </c:pt>
                <c:pt idx="68">
                  <c:v>43565</c:v>
                </c:pt>
                <c:pt idx="69">
                  <c:v>43566</c:v>
                </c:pt>
                <c:pt idx="70">
                  <c:v>43567</c:v>
                </c:pt>
                <c:pt idx="71">
                  <c:v>43570</c:v>
                </c:pt>
                <c:pt idx="72">
                  <c:v>43571</c:v>
                </c:pt>
                <c:pt idx="73">
                  <c:v>43572</c:v>
                </c:pt>
                <c:pt idx="74">
                  <c:v>43573</c:v>
                </c:pt>
                <c:pt idx="75">
                  <c:v>43577</c:v>
                </c:pt>
                <c:pt idx="76">
                  <c:v>43578</c:v>
                </c:pt>
                <c:pt idx="77">
                  <c:v>43579</c:v>
                </c:pt>
                <c:pt idx="78">
                  <c:v>43580</c:v>
                </c:pt>
                <c:pt idx="79">
                  <c:v>43581</c:v>
                </c:pt>
                <c:pt idx="80">
                  <c:v>43584</c:v>
                </c:pt>
                <c:pt idx="81">
                  <c:v>43585</c:v>
                </c:pt>
                <c:pt idx="82">
                  <c:v>43586</c:v>
                </c:pt>
                <c:pt idx="83">
                  <c:v>43587</c:v>
                </c:pt>
                <c:pt idx="84">
                  <c:v>43588</c:v>
                </c:pt>
                <c:pt idx="85">
                  <c:v>43591</c:v>
                </c:pt>
                <c:pt idx="86">
                  <c:v>43592</c:v>
                </c:pt>
                <c:pt idx="87">
                  <c:v>43593</c:v>
                </c:pt>
                <c:pt idx="88">
                  <c:v>43594</c:v>
                </c:pt>
                <c:pt idx="89">
                  <c:v>43595</c:v>
                </c:pt>
                <c:pt idx="90">
                  <c:v>43598</c:v>
                </c:pt>
                <c:pt idx="91">
                  <c:v>43599</c:v>
                </c:pt>
                <c:pt idx="92">
                  <c:v>43600</c:v>
                </c:pt>
                <c:pt idx="93">
                  <c:v>43601</c:v>
                </c:pt>
                <c:pt idx="94">
                  <c:v>43602</c:v>
                </c:pt>
                <c:pt idx="95">
                  <c:v>43605</c:v>
                </c:pt>
                <c:pt idx="96">
                  <c:v>43606</c:v>
                </c:pt>
                <c:pt idx="97">
                  <c:v>43607</c:v>
                </c:pt>
                <c:pt idx="98">
                  <c:v>43608</c:v>
                </c:pt>
                <c:pt idx="99">
                  <c:v>43609</c:v>
                </c:pt>
                <c:pt idx="100">
                  <c:v>43613</c:v>
                </c:pt>
                <c:pt idx="101">
                  <c:v>43614</c:v>
                </c:pt>
                <c:pt idx="102">
                  <c:v>43615</c:v>
                </c:pt>
                <c:pt idx="103">
                  <c:v>43616</c:v>
                </c:pt>
                <c:pt idx="104">
                  <c:v>43619</c:v>
                </c:pt>
                <c:pt idx="105">
                  <c:v>43620</c:v>
                </c:pt>
                <c:pt idx="106">
                  <c:v>43621</c:v>
                </c:pt>
                <c:pt idx="107">
                  <c:v>43622</c:v>
                </c:pt>
                <c:pt idx="108">
                  <c:v>43623</c:v>
                </c:pt>
                <c:pt idx="109">
                  <c:v>43626</c:v>
                </c:pt>
                <c:pt idx="110">
                  <c:v>43627</c:v>
                </c:pt>
                <c:pt idx="111">
                  <c:v>43628</c:v>
                </c:pt>
                <c:pt idx="112">
                  <c:v>43629</c:v>
                </c:pt>
                <c:pt idx="113">
                  <c:v>43630</c:v>
                </c:pt>
                <c:pt idx="114">
                  <c:v>43633</c:v>
                </c:pt>
                <c:pt idx="115">
                  <c:v>43634</c:v>
                </c:pt>
                <c:pt idx="116">
                  <c:v>43635</c:v>
                </c:pt>
                <c:pt idx="117">
                  <c:v>43636</c:v>
                </c:pt>
                <c:pt idx="118">
                  <c:v>43637</c:v>
                </c:pt>
                <c:pt idx="119">
                  <c:v>43640</c:v>
                </c:pt>
                <c:pt idx="120">
                  <c:v>43641</c:v>
                </c:pt>
                <c:pt idx="121">
                  <c:v>43642</c:v>
                </c:pt>
                <c:pt idx="122">
                  <c:v>43643</c:v>
                </c:pt>
                <c:pt idx="123">
                  <c:v>43644</c:v>
                </c:pt>
                <c:pt idx="124">
                  <c:v>43647</c:v>
                </c:pt>
                <c:pt idx="125">
                  <c:v>43648</c:v>
                </c:pt>
                <c:pt idx="126">
                  <c:v>43649</c:v>
                </c:pt>
                <c:pt idx="127">
                  <c:v>43651</c:v>
                </c:pt>
                <c:pt idx="128">
                  <c:v>43654</c:v>
                </c:pt>
                <c:pt idx="129">
                  <c:v>43655</c:v>
                </c:pt>
                <c:pt idx="130">
                  <c:v>43656</c:v>
                </c:pt>
                <c:pt idx="131">
                  <c:v>43657</c:v>
                </c:pt>
                <c:pt idx="132">
                  <c:v>43658</c:v>
                </c:pt>
                <c:pt idx="133">
                  <c:v>43661</c:v>
                </c:pt>
                <c:pt idx="134">
                  <c:v>43662</c:v>
                </c:pt>
                <c:pt idx="135">
                  <c:v>43663</c:v>
                </c:pt>
                <c:pt idx="136">
                  <c:v>43664</c:v>
                </c:pt>
                <c:pt idx="137">
                  <c:v>43665</c:v>
                </c:pt>
                <c:pt idx="138">
                  <c:v>43668</c:v>
                </c:pt>
                <c:pt idx="139">
                  <c:v>43669</c:v>
                </c:pt>
                <c:pt idx="140">
                  <c:v>43670</c:v>
                </c:pt>
                <c:pt idx="141">
                  <c:v>43671</c:v>
                </c:pt>
                <c:pt idx="142">
                  <c:v>43672</c:v>
                </c:pt>
                <c:pt idx="143">
                  <c:v>43675</c:v>
                </c:pt>
                <c:pt idx="144">
                  <c:v>43676</c:v>
                </c:pt>
                <c:pt idx="145">
                  <c:v>43677</c:v>
                </c:pt>
                <c:pt idx="146">
                  <c:v>43678</c:v>
                </c:pt>
                <c:pt idx="147">
                  <c:v>43679</c:v>
                </c:pt>
                <c:pt idx="148">
                  <c:v>43682</c:v>
                </c:pt>
                <c:pt idx="149">
                  <c:v>43683</c:v>
                </c:pt>
                <c:pt idx="150">
                  <c:v>43684</c:v>
                </c:pt>
                <c:pt idx="151">
                  <c:v>43685</c:v>
                </c:pt>
                <c:pt idx="152">
                  <c:v>43686</c:v>
                </c:pt>
                <c:pt idx="153">
                  <c:v>43689</c:v>
                </c:pt>
                <c:pt idx="154">
                  <c:v>43690</c:v>
                </c:pt>
                <c:pt idx="155">
                  <c:v>43691</c:v>
                </c:pt>
                <c:pt idx="156">
                  <c:v>43692</c:v>
                </c:pt>
                <c:pt idx="157">
                  <c:v>43693</c:v>
                </c:pt>
                <c:pt idx="158">
                  <c:v>43696</c:v>
                </c:pt>
                <c:pt idx="159">
                  <c:v>43697</c:v>
                </c:pt>
                <c:pt idx="160">
                  <c:v>43698</c:v>
                </c:pt>
                <c:pt idx="161">
                  <c:v>43699</c:v>
                </c:pt>
                <c:pt idx="162">
                  <c:v>43700</c:v>
                </c:pt>
                <c:pt idx="163">
                  <c:v>43703</c:v>
                </c:pt>
                <c:pt idx="164">
                  <c:v>43704</c:v>
                </c:pt>
                <c:pt idx="165">
                  <c:v>43705</c:v>
                </c:pt>
                <c:pt idx="166">
                  <c:v>43706</c:v>
                </c:pt>
                <c:pt idx="167">
                  <c:v>43707</c:v>
                </c:pt>
                <c:pt idx="168">
                  <c:v>43711</c:v>
                </c:pt>
                <c:pt idx="169">
                  <c:v>43712</c:v>
                </c:pt>
                <c:pt idx="170">
                  <c:v>43713</c:v>
                </c:pt>
                <c:pt idx="171">
                  <c:v>43714</c:v>
                </c:pt>
                <c:pt idx="172">
                  <c:v>43717</c:v>
                </c:pt>
                <c:pt idx="173">
                  <c:v>43718</c:v>
                </c:pt>
                <c:pt idx="174">
                  <c:v>43719</c:v>
                </c:pt>
                <c:pt idx="175">
                  <c:v>43720</c:v>
                </c:pt>
                <c:pt idx="176">
                  <c:v>43721</c:v>
                </c:pt>
                <c:pt idx="177">
                  <c:v>43724</c:v>
                </c:pt>
                <c:pt idx="178">
                  <c:v>43725</c:v>
                </c:pt>
                <c:pt idx="179">
                  <c:v>43726</c:v>
                </c:pt>
                <c:pt idx="180">
                  <c:v>43727</c:v>
                </c:pt>
                <c:pt idx="181">
                  <c:v>43728</c:v>
                </c:pt>
                <c:pt idx="182">
                  <c:v>43731</c:v>
                </c:pt>
                <c:pt idx="183">
                  <c:v>43732</c:v>
                </c:pt>
                <c:pt idx="184">
                  <c:v>43733</c:v>
                </c:pt>
                <c:pt idx="185">
                  <c:v>43734</c:v>
                </c:pt>
                <c:pt idx="186">
                  <c:v>43735</c:v>
                </c:pt>
                <c:pt idx="187">
                  <c:v>43738</c:v>
                </c:pt>
                <c:pt idx="188">
                  <c:v>43739</c:v>
                </c:pt>
                <c:pt idx="189">
                  <c:v>43740</c:v>
                </c:pt>
                <c:pt idx="190">
                  <c:v>43741</c:v>
                </c:pt>
                <c:pt idx="191">
                  <c:v>43742</c:v>
                </c:pt>
                <c:pt idx="192">
                  <c:v>43745</c:v>
                </c:pt>
                <c:pt idx="193">
                  <c:v>43746</c:v>
                </c:pt>
                <c:pt idx="194">
                  <c:v>43747</c:v>
                </c:pt>
                <c:pt idx="195">
                  <c:v>43748</c:v>
                </c:pt>
                <c:pt idx="196">
                  <c:v>43749</c:v>
                </c:pt>
                <c:pt idx="197">
                  <c:v>43752</c:v>
                </c:pt>
                <c:pt idx="198">
                  <c:v>43753</c:v>
                </c:pt>
                <c:pt idx="199">
                  <c:v>43754</c:v>
                </c:pt>
                <c:pt idx="200">
                  <c:v>43755</c:v>
                </c:pt>
                <c:pt idx="201">
                  <c:v>43756</c:v>
                </c:pt>
                <c:pt idx="202">
                  <c:v>43759</c:v>
                </c:pt>
                <c:pt idx="203">
                  <c:v>43760</c:v>
                </c:pt>
                <c:pt idx="204">
                  <c:v>43761</c:v>
                </c:pt>
                <c:pt idx="205">
                  <c:v>43762</c:v>
                </c:pt>
                <c:pt idx="206">
                  <c:v>43763</c:v>
                </c:pt>
                <c:pt idx="207">
                  <c:v>43766</c:v>
                </c:pt>
                <c:pt idx="208">
                  <c:v>43767</c:v>
                </c:pt>
                <c:pt idx="209">
                  <c:v>43768</c:v>
                </c:pt>
                <c:pt idx="210">
                  <c:v>43769</c:v>
                </c:pt>
                <c:pt idx="211">
                  <c:v>43770</c:v>
                </c:pt>
                <c:pt idx="212">
                  <c:v>43773</c:v>
                </c:pt>
                <c:pt idx="213">
                  <c:v>43774</c:v>
                </c:pt>
                <c:pt idx="214">
                  <c:v>43775</c:v>
                </c:pt>
                <c:pt idx="215">
                  <c:v>43776</c:v>
                </c:pt>
                <c:pt idx="216">
                  <c:v>43777</c:v>
                </c:pt>
                <c:pt idx="217">
                  <c:v>43780</c:v>
                </c:pt>
                <c:pt idx="218">
                  <c:v>43781</c:v>
                </c:pt>
                <c:pt idx="219">
                  <c:v>43782</c:v>
                </c:pt>
                <c:pt idx="220">
                  <c:v>43783</c:v>
                </c:pt>
                <c:pt idx="221">
                  <c:v>43784</c:v>
                </c:pt>
                <c:pt idx="222">
                  <c:v>43787</c:v>
                </c:pt>
                <c:pt idx="223">
                  <c:v>43788</c:v>
                </c:pt>
                <c:pt idx="224">
                  <c:v>43789</c:v>
                </c:pt>
                <c:pt idx="225">
                  <c:v>43790</c:v>
                </c:pt>
                <c:pt idx="226">
                  <c:v>43791</c:v>
                </c:pt>
                <c:pt idx="227">
                  <c:v>43794</c:v>
                </c:pt>
                <c:pt idx="228">
                  <c:v>43795</c:v>
                </c:pt>
                <c:pt idx="229">
                  <c:v>43796</c:v>
                </c:pt>
                <c:pt idx="230">
                  <c:v>43798</c:v>
                </c:pt>
                <c:pt idx="231">
                  <c:v>43801</c:v>
                </c:pt>
                <c:pt idx="232">
                  <c:v>43802</c:v>
                </c:pt>
                <c:pt idx="233">
                  <c:v>43803</c:v>
                </c:pt>
                <c:pt idx="234">
                  <c:v>43804</c:v>
                </c:pt>
                <c:pt idx="235">
                  <c:v>43805</c:v>
                </c:pt>
                <c:pt idx="236">
                  <c:v>43808</c:v>
                </c:pt>
                <c:pt idx="237">
                  <c:v>43809</c:v>
                </c:pt>
                <c:pt idx="238">
                  <c:v>43810</c:v>
                </c:pt>
                <c:pt idx="239">
                  <c:v>43811</c:v>
                </c:pt>
                <c:pt idx="240">
                  <c:v>43812</c:v>
                </c:pt>
                <c:pt idx="241">
                  <c:v>43815</c:v>
                </c:pt>
                <c:pt idx="242">
                  <c:v>43816</c:v>
                </c:pt>
                <c:pt idx="243">
                  <c:v>43817</c:v>
                </c:pt>
                <c:pt idx="244">
                  <c:v>43818</c:v>
                </c:pt>
                <c:pt idx="245">
                  <c:v>43819</c:v>
                </c:pt>
                <c:pt idx="246">
                  <c:v>43822</c:v>
                </c:pt>
                <c:pt idx="247">
                  <c:v>43823</c:v>
                </c:pt>
                <c:pt idx="248">
                  <c:v>43825</c:v>
                </c:pt>
                <c:pt idx="249">
                  <c:v>43826</c:v>
                </c:pt>
                <c:pt idx="250">
                  <c:v>43829</c:v>
                </c:pt>
                <c:pt idx="251">
                  <c:v>43830</c:v>
                </c:pt>
                <c:pt idx="252">
                  <c:v>43832</c:v>
                </c:pt>
                <c:pt idx="253">
                  <c:v>43833</c:v>
                </c:pt>
                <c:pt idx="254">
                  <c:v>43836</c:v>
                </c:pt>
                <c:pt idx="255">
                  <c:v>43837</c:v>
                </c:pt>
                <c:pt idx="256">
                  <c:v>43838</c:v>
                </c:pt>
                <c:pt idx="257">
                  <c:v>43839</c:v>
                </c:pt>
                <c:pt idx="258">
                  <c:v>43840</c:v>
                </c:pt>
                <c:pt idx="259">
                  <c:v>43843</c:v>
                </c:pt>
                <c:pt idx="260">
                  <c:v>43844</c:v>
                </c:pt>
                <c:pt idx="261">
                  <c:v>43845</c:v>
                </c:pt>
                <c:pt idx="262">
                  <c:v>43846</c:v>
                </c:pt>
                <c:pt idx="263">
                  <c:v>43847</c:v>
                </c:pt>
                <c:pt idx="264">
                  <c:v>43851</c:v>
                </c:pt>
                <c:pt idx="265">
                  <c:v>43852</c:v>
                </c:pt>
                <c:pt idx="266">
                  <c:v>43853</c:v>
                </c:pt>
                <c:pt idx="267">
                  <c:v>43854</c:v>
                </c:pt>
                <c:pt idx="268">
                  <c:v>43857</c:v>
                </c:pt>
                <c:pt idx="269">
                  <c:v>43858</c:v>
                </c:pt>
                <c:pt idx="270">
                  <c:v>43859</c:v>
                </c:pt>
                <c:pt idx="271">
                  <c:v>43860</c:v>
                </c:pt>
                <c:pt idx="272">
                  <c:v>43861</c:v>
                </c:pt>
                <c:pt idx="273">
                  <c:v>43864</c:v>
                </c:pt>
                <c:pt idx="274">
                  <c:v>43865</c:v>
                </c:pt>
                <c:pt idx="275">
                  <c:v>43866</c:v>
                </c:pt>
                <c:pt idx="276">
                  <c:v>43867</c:v>
                </c:pt>
                <c:pt idx="277">
                  <c:v>43868</c:v>
                </c:pt>
                <c:pt idx="278">
                  <c:v>43871</c:v>
                </c:pt>
                <c:pt idx="279">
                  <c:v>43872</c:v>
                </c:pt>
                <c:pt idx="280">
                  <c:v>43873</c:v>
                </c:pt>
                <c:pt idx="281">
                  <c:v>43874</c:v>
                </c:pt>
                <c:pt idx="282">
                  <c:v>43875</c:v>
                </c:pt>
                <c:pt idx="283">
                  <c:v>43879</c:v>
                </c:pt>
                <c:pt idx="284">
                  <c:v>43880</c:v>
                </c:pt>
                <c:pt idx="285">
                  <c:v>43881</c:v>
                </c:pt>
                <c:pt idx="286">
                  <c:v>43882</c:v>
                </c:pt>
                <c:pt idx="287">
                  <c:v>43885</c:v>
                </c:pt>
                <c:pt idx="288">
                  <c:v>43886</c:v>
                </c:pt>
                <c:pt idx="289">
                  <c:v>43887</c:v>
                </c:pt>
                <c:pt idx="290">
                  <c:v>43888</c:v>
                </c:pt>
                <c:pt idx="291">
                  <c:v>43889</c:v>
                </c:pt>
                <c:pt idx="292">
                  <c:v>43892</c:v>
                </c:pt>
                <c:pt idx="293">
                  <c:v>43893</c:v>
                </c:pt>
                <c:pt idx="294">
                  <c:v>43894</c:v>
                </c:pt>
                <c:pt idx="295">
                  <c:v>43895</c:v>
                </c:pt>
                <c:pt idx="296">
                  <c:v>43896</c:v>
                </c:pt>
                <c:pt idx="297">
                  <c:v>43899</c:v>
                </c:pt>
                <c:pt idx="298">
                  <c:v>43900</c:v>
                </c:pt>
                <c:pt idx="299">
                  <c:v>43901</c:v>
                </c:pt>
                <c:pt idx="300">
                  <c:v>43902</c:v>
                </c:pt>
                <c:pt idx="301">
                  <c:v>43903</c:v>
                </c:pt>
                <c:pt idx="302">
                  <c:v>43906</c:v>
                </c:pt>
                <c:pt idx="303">
                  <c:v>43907</c:v>
                </c:pt>
                <c:pt idx="304">
                  <c:v>43908</c:v>
                </c:pt>
                <c:pt idx="305">
                  <c:v>43909</c:v>
                </c:pt>
                <c:pt idx="306">
                  <c:v>43910</c:v>
                </c:pt>
                <c:pt idx="307">
                  <c:v>43913</c:v>
                </c:pt>
                <c:pt idx="308">
                  <c:v>43914</c:v>
                </c:pt>
                <c:pt idx="309">
                  <c:v>43915</c:v>
                </c:pt>
                <c:pt idx="310">
                  <c:v>43916</c:v>
                </c:pt>
                <c:pt idx="311">
                  <c:v>43917</c:v>
                </c:pt>
                <c:pt idx="312">
                  <c:v>43920</c:v>
                </c:pt>
                <c:pt idx="313">
                  <c:v>43921</c:v>
                </c:pt>
                <c:pt idx="314">
                  <c:v>43922</c:v>
                </c:pt>
                <c:pt idx="315">
                  <c:v>43923</c:v>
                </c:pt>
                <c:pt idx="316">
                  <c:v>43924</c:v>
                </c:pt>
                <c:pt idx="317">
                  <c:v>43927</c:v>
                </c:pt>
                <c:pt idx="318">
                  <c:v>43928</c:v>
                </c:pt>
                <c:pt idx="319">
                  <c:v>43929</c:v>
                </c:pt>
                <c:pt idx="320">
                  <c:v>43930</c:v>
                </c:pt>
                <c:pt idx="321">
                  <c:v>43934</c:v>
                </c:pt>
                <c:pt idx="322">
                  <c:v>43935</c:v>
                </c:pt>
                <c:pt idx="323">
                  <c:v>43936</c:v>
                </c:pt>
                <c:pt idx="324">
                  <c:v>43937</c:v>
                </c:pt>
                <c:pt idx="325">
                  <c:v>43938</c:v>
                </c:pt>
                <c:pt idx="326">
                  <c:v>43941</c:v>
                </c:pt>
                <c:pt idx="327">
                  <c:v>43942</c:v>
                </c:pt>
                <c:pt idx="328">
                  <c:v>43943</c:v>
                </c:pt>
                <c:pt idx="329">
                  <c:v>43944</c:v>
                </c:pt>
                <c:pt idx="330">
                  <c:v>43945</c:v>
                </c:pt>
                <c:pt idx="331">
                  <c:v>43948</c:v>
                </c:pt>
                <c:pt idx="332">
                  <c:v>43949</c:v>
                </c:pt>
                <c:pt idx="333">
                  <c:v>43950</c:v>
                </c:pt>
                <c:pt idx="334">
                  <c:v>43951</c:v>
                </c:pt>
                <c:pt idx="335">
                  <c:v>43952</c:v>
                </c:pt>
                <c:pt idx="336">
                  <c:v>43955</c:v>
                </c:pt>
                <c:pt idx="337">
                  <c:v>43956</c:v>
                </c:pt>
                <c:pt idx="338">
                  <c:v>43957</c:v>
                </c:pt>
                <c:pt idx="339">
                  <c:v>43958</c:v>
                </c:pt>
                <c:pt idx="340">
                  <c:v>43959</c:v>
                </c:pt>
                <c:pt idx="341">
                  <c:v>43962</c:v>
                </c:pt>
                <c:pt idx="342">
                  <c:v>43963</c:v>
                </c:pt>
                <c:pt idx="343">
                  <c:v>43964</c:v>
                </c:pt>
                <c:pt idx="344">
                  <c:v>43965</c:v>
                </c:pt>
                <c:pt idx="345">
                  <c:v>43966</c:v>
                </c:pt>
                <c:pt idx="346">
                  <c:v>43969</c:v>
                </c:pt>
                <c:pt idx="347">
                  <c:v>43970</c:v>
                </c:pt>
                <c:pt idx="348">
                  <c:v>43971</c:v>
                </c:pt>
                <c:pt idx="349">
                  <c:v>43972</c:v>
                </c:pt>
                <c:pt idx="350">
                  <c:v>43973</c:v>
                </c:pt>
                <c:pt idx="351">
                  <c:v>43977</c:v>
                </c:pt>
                <c:pt idx="352">
                  <c:v>43978</c:v>
                </c:pt>
                <c:pt idx="353">
                  <c:v>43979</c:v>
                </c:pt>
                <c:pt idx="354">
                  <c:v>43980</c:v>
                </c:pt>
                <c:pt idx="355">
                  <c:v>43983</c:v>
                </c:pt>
                <c:pt idx="356">
                  <c:v>43984</c:v>
                </c:pt>
                <c:pt idx="357">
                  <c:v>43985</c:v>
                </c:pt>
                <c:pt idx="358">
                  <c:v>43986</c:v>
                </c:pt>
                <c:pt idx="359">
                  <c:v>43987</c:v>
                </c:pt>
                <c:pt idx="360">
                  <c:v>43990</c:v>
                </c:pt>
                <c:pt idx="361">
                  <c:v>43991</c:v>
                </c:pt>
                <c:pt idx="362">
                  <c:v>43992</c:v>
                </c:pt>
                <c:pt idx="363">
                  <c:v>43993</c:v>
                </c:pt>
                <c:pt idx="364">
                  <c:v>43994</c:v>
                </c:pt>
                <c:pt idx="365">
                  <c:v>43997</c:v>
                </c:pt>
                <c:pt idx="366">
                  <c:v>43998</c:v>
                </c:pt>
                <c:pt idx="367">
                  <c:v>43999</c:v>
                </c:pt>
                <c:pt idx="368">
                  <c:v>44000</c:v>
                </c:pt>
                <c:pt idx="369">
                  <c:v>44001</c:v>
                </c:pt>
                <c:pt idx="370">
                  <c:v>44004</c:v>
                </c:pt>
                <c:pt idx="371">
                  <c:v>44005</c:v>
                </c:pt>
                <c:pt idx="372">
                  <c:v>44006</c:v>
                </c:pt>
                <c:pt idx="373">
                  <c:v>44007</c:v>
                </c:pt>
                <c:pt idx="374">
                  <c:v>44008</c:v>
                </c:pt>
                <c:pt idx="375">
                  <c:v>44011</c:v>
                </c:pt>
                <c:pt idx="376">
                  <c:v>44012</c:v>
                </c:pt>
                <c:pt idx="377">
                  <c:v>44013</c:v>
                </c:pt>
                <c:pt idx="378">
                  <c:v>44014</c:v>
                </c:pt>
                <c:pt idx="379">
                  <c:v>44018</c:v>
                </c:pt>
                <c:pt idx="380">
                  <c:v>44019</c:v>
                </c:pt>
                <c:pt idx="381">
                  <c:v>44020</c:v>
                </c:pt>
                <c:pt idx="382">
                  <c:v>44021</c:v>
                </c:pt>
                <c:pt idx="383">
                  <c:v>44022</c:v>
                </c:pt>
                <c:pt idx="384">
                  <c:v>44025</c:v>
                </c:pt>
                <c:pt idx="385">
                  <c:v>44026</c:v>
                </c:pt>
                <c:pt idx="386">
                  <c:v>44027</c:v>
                </c:pt>
                <c:pt idx="387">
                  <c:v>44028</c:v>
                </c:pt>
                <c:pt idx="388">
                  <c:v>44029</c:v>
                </c:pt>
                <c:pt idx="389">
                  <c:v>44032</c:v>
                </c:pt>
                <c:pt idx="390">
                  <c:v>44033</c:v>
                </c:pt>
                <c:pt idx="391">
                  <c:v>44034</c:v>
                </c:pt>
                <c:pt idx="392">
                  <c:v>44035</c:v>
                </c:pt>
                <c:pt idx="393">
                  <c:v>44036</c:v>
                </c:pt>
                <c:pt idx="394">
                  <c:v>44039</c:v>
                </c:pt>
                <c:pt idx="395">
                  <c:v>44040</c:v>
                </c:pt>
                <c:pt idx="396">
                  <c:v>44041</c:v>
                </c:pt>
                <c:pt idx="397">
                  <c:v>44042</c:v>
                </c:pt>
                <c:pt idx="398">
                  <c:v>44043</c:v>
                </c:pt>
                <c:pt idx="399">
                  <c:v>44046</c:v>
                </c:pt>
                <c:pt idx="400">
                  <c:v>44047</c:v>
                </c:pt>
                <c:pt idx="401">
                  <c:v>44048</c:v>
                </c:pt>
                <c:pt idx="402">
                  <c:v>44049</c:v>
                </c:pt>
                <c:pt idx="403">
                  <c:v>44050</c:v>
                </c:pt>
                <c:pt idx="404">
                  <c:v>44053</c:v>
                </c:pt>
                <c:pt idx="405">
                  <c:v>44054</c:v>
                </c:pt>
                <c:pt idx="406">
                  <c:v>44055</c:v>
                </c:pt>
                <c:pt idx="407">
                  <c:v>44056</c:v>
                </c:pt>
                <c:pt idx="408">
                  <c:v>44057</c:v>
                </c:pt>
                <c:pt idx="409">
                  <c:v>44060</c:v>
                </c:pt>
                <c:pt idx="410">
                  <c:v>44061</c:v>
                </c:pt>
                <c:pt idx="411">
                  <c:v>44062</c:v>
                </c:pt>
                <c:pt idx="412">
                  <c:v>44063</c:v>
                </c:pt>
                <c:pt idx="413">
                  <c:v>44064</c:v>
                </c:pt>
                <c:pt idx="414">
                  <c:v>44067</c:v>
                </c:pt>
                <c:pt idx="415">
                  <c:v>44068</c:v>
                </c:pt>
                <c:pt idx="416">
                  <c:v>44069</c:v>
                </c:pt>
                <c:pt idx="417">
                  <c:v>44070</c:v>
                </c:pt>
                <c:pt idx="418">
                  <c:v>44071</c:v>
                </c:pt>
                <c:pt idx="419">
                  <c:v>44074</c:v>
                </c:pt>
                <c:pt idx="420">
                  <c:v>44075</c:v>
                </c:pt>
                <c:pt idx="421">
                  <c:v>44076</c:v>
                </c:pt>
                <c:pt idx="422">
                  <c:v>44077</c:v>
                </c:pt>
                <c:pt idx="423">
                  <c:v>44078</c:v>
                </c:pt>
                <c:pt idx="424">
                  <c:v>44082</c:v>
                </c:pt>
                <c:pt idx="425">
                  <c:v>44083</c:v>
                </c:pt>
                <c:pt idx="426">
                  <c:v>44084</c:v>
                </c:pt>
                <c:pt idx="427">
                  <c:v>44085</c:v>
                </c:pt>
                <c:pt idx="428">
                  <c:v>44088</c:v>
                </c:pt>
                <c:pt idx="429">
                  <c:v>44089</c:v>
                </c:pt>
                <c:pt idx="430">
                  <c:v>44090</c:v>
                </c:pt>
                <c:pt idx="431">
                  <c:v>44091</c:v>
                </c:pt>
                <c:pt idx="432">
                  <c:v>44092</c:v>
                </c:pt>
                <c:pt idx="433">
                  <c:v>44095</c:v>
                </c:pt>
                <c:pt idx="434">
                  <c:v>44096</c:v>
                </c:pt>
                <c:pt idx="435">
                  <c:v>44097</c:v>
                </c:pt>
                <c:pt idx="436">
                  <c:v>44098</c:v>
                </c:pt>
                <c:pt idx="437">
                  <c:v>44099</c:v>
                </c:pt>
                <c:pt idx="438">
                  <c:v>44102</c:v>
                </c:pt>
                <c:pt idx="439">
                  <c:v>44103</c:v>
                </c:pt>
                <c:pt idx="440">
                  <c:v>44104</c:v>
                </c:pt>
                <c:pt idx="441">
                  <c:v>44105</c:v>
                </c:pt>
                <c:pt idx="442">
                  <c:v>44106</c:v>
                </c:pt>
                <c:pt idx="443">
                  <c:v>44109</c:v>
                </c:pt>
                <c:pt idx="444">
                  <c:v>44110</c:v>
                </c:pt>
                <c:pt idx="445">
                  <c:v>44111</c:v>
                </c:pt>
                <c:pt idx="446">
                  <c:v>44112</c:v>
                </c:pt>
                <c:pt idx="447">
                  <c:v>44113</c:v>
                </c:pt>
                <c:pt idx="448">
                  <c:v>44116</c:v>
                </c:pt>
                <c:pt idx="449">
                  <c:v>44117</c:v>
                </c:pt>
                <c:pt idx="450">
                  <c:v>44118</c:v>
                </c:pt>
                <c:pt idx="451">
                  <c:v>44119</c:v>
                </c:pt>
                <c:pt idx="452">
                  <c:v>44120</c:v>
                </c:pt>
                <c:pt idx="453">
                  <c:v>44123</c:v>
                </c:pt>
                <c:pt idx="454">
                  <c:v>44124</c:v>
                </c:pt>
                <c:pt idx="455">
                  <c:v>44125</c:v>
                </c:pt>
                <c:pt idx="456">
                  <c:v>44126</c:v>
                </c:pt>
                <c:pt idx="457">
                  <c:v>44127</c:v>
                </c:pt>
                <c:pt idx="458">
                  <c:v>44130</c:v>
                </c:pt>
                <c:pt idx="459">
                  <c:v>44131</c:v>
                </c:pt>
                <c:pt idx="460">
                  <c:v>44132</c:v>
                </c:pt>
                <c:pt idx="461">
                  <c:v>44133</c:v>
                </c:pt>
                <c:pt idx="462">
                  <c:v>44134</c:v>
                </c:pt>
                <c:pt idx="463">
                  <c:v>44137</c:v>
                </c:pt>
                <c:pt idx="464">
                  <c:v>44138</c:v>
                </c:pt>
                <c:pt idx="465">
                  <c:v>44139</c:v>
                </c:pt>
                <c:pt idx="466">
                  <c:v>44140</c:v>
                </c:pt>
                <c:pt idx="467">
                  <c:v>44141</c:v>
                </c:pt>
                <c:pt idx="468">
                  <c:v>44144</c:v>
                </c:pt>
                <c:pt idx="469">
                  <c:v>44145</c:v>
                </c:pt>
                <c:pt idx="470">
                  <c:v>44146</c:v>
                </c:pt>
                <c:pt idx="471">
                  <c:v>44147</c:v>
                </c:pt>
                <c:pt idx="472">
                  <c:v>44148</c:v>
                </c:pt>
                <c:pt idx="473">
                  <c:v>44151</c:v>
                </c:pt>
                <c:pt idx="474">
                  <c:v>44152</c:v>
                </c:pt>
                <c:pt idx="475">
                  <c:v>44153</c:v>
                </c:pt>
                <c:pt idx="476">
                  <c:v>44154</c:v>
                </c:pt>
                <c:pt idx="477">
                  <c:v>44155</c:v>
                </c:pt>
                <c:pt idx="478">
                  <c:v>44158</c:v>
                </c:pt>
                <c:pt idx="479">
                  <c:v>44159</c:v>
                </c:pt>
                <c:pt idx="480">
                  <c:v>44160</c:v>
                </c:pt>
                <c:pt idx="481">
                  <c:v>44162</c:v>
                </c:pt>
                <c:pt idx="482">
                  <c:v>44165</c:v>
                </c:pt>
                <c:pt idx="483">
                  <c:v>44166</c:v>
                </c:pt>
                <c:pt idx="484">
                  <c:v>44167</c:v>
                </c:pt>
                <c:pt idx="485">
                  <c:v>44168</c:v>
                </c:pt>
                <c:pt idx="486">
                  <c:v>44169</c:v>
                </c:pt>
                <c:pt idx="487">
                  <c:v>44172</c:v>
                </c:pt>
                <c:pt idx="488">
                  <c:v>44173</c:v>
                </c:pt>
                <c:pt idx="489">
                  <c:v>44174</c:v>
                </c:pt>
                <c:pt idx="490">
                  <c:v>44175</c:v>
                </c:pt>
                <c:pt idx="491">
                  <c:v>44176</c:v>
                </c:pt>
                <c:pt idx="492">
                  <c:v>44179</c:v>
                </c:pt>
                <c:pt idx="493">
                  <c:v>44180</c:v>
                </c:pt>
                <c:pt idx="494">
                  <c:v>44181</c:v>
                </c:pt>
                <c:pt idx="495">
                  <c:v>44182</c:v>
                </c:pt>
                <c:pt idx="496">
                  <c:v>44183</c:v>
                </c:pt>
                <c:pt idx="497">
                  <c:v>44186</c:v>
                </c:pt>
                <c:pt idx="498">
                  <c:v>44187</c:v>
                </c:pt>
                <c:pt idx="499">
                  <c:v>44188</c:v>
                </c:pt>
                <c:pt idx="500">
                  <c:v>44189</c:v>
                </c:pt>
                <c:pt idx="501">
                  <c:v>44193</c:v>
                </c:pt>
                <c:pt idx="502">
                  <c:v>44194</c:v>
                </c:pt>
                <c:pt idx="503">
                  <c:v>44195</c:v>
                </c:pt>
                <c:pt idx="504">
                  <c:v>44196</c:v>
                </c:pt>
                <c:pt idx="505">
                  <c:v>44200</c:v>
                </c:pt>
                <c:pt idx="506">
                  <c:v>44201</c:v>
                </c:pt>
                <c:pt idx="507">
                  <c:v>44202</c:v>
                </c:pt>
                <c:pt idx="508">
                  <c:v>44203</c:v>
                </c:pt>
                <c:pt idx="509">
                  <c:v>44204</c:v>
                </c:pt>
                <c:pt idx="510">
                  <c:v>44207</c:v>
                </c:pt>
                <c:pt idx="511">
                  <c:v>44208</c:v>
                </c:pt>
                <c:pt idx="512">
                  <c:v>44209</c:v>
                </c:pt>
                <c:pt idx="513">
                  <c:v>44210</c:v>
                </c:pt>
                <c:pt idx="514">
                  <c:v>44211</c:v>
                </c:pt>
                <c:pt idx="515">
                  <c:v>44215</c:v>
                </c:pt>
                <c:pt idx="516">
                  <c:v>44216</c:v>
                </c:pt>
                <c:pt idx="517">
                  <c:v>44217</c:v>
                </c:pt>
                <c:pt idx="518">
                  <c:v>44218</c:v>
                </c:pt>
                <c:pt idx="519">
                  <c:v>44221</c:v>
                </c:pt>
                <c:pt idx="520">
                  <c:v>44222</c:v>
                </c:pt>
                <c:pt idx="521">
                  <c:v>44223</c:v>
                </c:pt>
                <c:pt idx="522">
                  <c:v>44224</c:v>
                </c:pt>
                <c:pt idx="523">
                  <c:v>44225</c:v>
                </c:pt>
                <c:pt idx="524">
                  <c:v>44228</c:v>
                </c:pt>
                <c:pt idx="525">
                  <c:v>44229</c:v>
                </c:pt>
                <c:pt idx="526">
                  <c:v>44230</c:v>
                </c:pt>
                <c:pt idx="527">
                  <c:v>44231</c:v>
                </c:pt>
                <c:pt idx="528">
                  <c:v>44232</c:v>
                </c:pt>
                <c:pt idx="529">
                  <c:v>44235</c:v>
                </c:pt>
                <c:pt idx="530">
                  <c:v>44236</c:v>
                </c:pt>
                <c:pt idx="531">
                  <c:v>44237</c:v>
                </c:pt>
                <c:pt idx="532">
                  <c:v>44238</c:v>
                </c:pt>
                <c:pt idx="533">
                  <c:v>44239</c:v>
                </c:pt>
                <c:pt idx="534">
                  <c:v>44243</c:v>
                </c:pt>
                <c:pt idx="535">
                  <c:v>44244</c:v>
                </c:pt>
                <c:pt idx="536">
                  <c:v>44245</c:v>
                </c:pt>
                <c:pt idx="537">
                  <c:v>44246</c:v>
                </c:pt>
                <c:pt idx="538">
                  <c:v>44249</c:v>
                </c:pt>
                <c:pt idx="539">
                  <c:v>44250</c:v>
                </c:pt>
                <c:pt idx="540">
                  <c:v>44251</c:v>
                </c:pt>
                <c:pt idx="541">
                  <c:v>44252</c:v>
                </c:pt>
                <c:pt idx="542">
                  <c:v>44253</c:v>
                </c:pt>
                <c:pt idx="543">
                  <c:v>44256</c:v>
                </c:pt>
                <c:pt idx="544">
                  <c:v>44257</c:v>
                </c:pt>
                <c:pt idx="545">
                  <c:v>44258</c:v>
                </c:pt>
                <c:pt idx="546">
                  <c:v>44259</c:v>
                </c:pt>
                <c:pt idx="547">
                  <c:v>44260</c:v>
                </c:pt>
                <c:pt idx="548">
                  <c:v>44263</c:v>
                </c:pt>
                <c:pt idx="549">
                  <c:v>44264</c:v>
                </c:pt>
                <c:pt idx="550">
                  <c:v>44265</c:v>
                </c:pt>
                <c:pt idx="551">
                  <c:v>44266</c:v>
                </c:pt>
                <c:pt idx="552">
                  <c:v>44267</c:v>
                </c:pt>
                <c:pt idx="553">
                  <c:v>44270</c:v>
                </c:pt>
                <c:pt idx="554">
                  <c:v>44271</c:v>
                </c:pt>
                <c:pt idx="555">
                  <c:v>44272</c:v>
                </c:pt>
                <c:pt idx="556">
                  <c:v>44273</c:v>
                </c:pt>
                <c:pt idx="557">
                  <c:v>44274</c:v>
                </c:pt>
                <c:pt idx="558">
                  <c:v>44277</c:v>
                </c:pt>
                <c:pt idx="559">
                  <c:v>44278</c:v>
                </c:pt>
                <c:pt idx="560">
                  <c:v>44279</c:v>
                </c:pt>
                <c:pt idx="561">
                  <c:v>44280</c:v>
                </c:pt>
                <c:pt idx="562">
                  <c:v>44281</c:v>
                </c:pt>
                <c:pt idx="563">
                  <c:v>44284</c:v>
                </c:pt>
                <c:pt idx="564">
                  <c:v>44285</c:v>
                </c:pt>
                <c:pt idx="565">
                  <c:v>44286</c:v>
                </c:pt>
                <c:pt idx="566">
                  <c:v>44287</c:v>
                </c:pt>
                <c:pt idx="567">
                  <c:v>44291</c:v>
                </c:pt>
                <c:pt idx="568">
                  <c:v>44292</c:v>
                </c:pt>
                <c:pt idx="569">
                  <c:v>44293</c:v>
                </c:pt>
                <c:pt idx="570">
                  <c:v>44294</c:v>
                </c:pt>
                <c:pt idx="571">
                  <c:v>44295</c:v>
                </c:pt>
                <c:pt idx="572">
                  <c:v>44298</c:v>
                </c:pt>
                <c:pt idx="573">
                  <c:v>44299</c:v>
                </c:pt>
                <c:pt idx="574">
                  <c:v>44300</c:v>
                </c:pt>
                <c:pt idx="575">
                  <c:v>44301</c:v>
                </c:pt>
                <c:pt idx="576">
                  <c:v>44302</c:v>
                </c:pt>
                <c:pt idx="577">
                  <c:v>44305</c:v>
                </c:pt>
                <c:pt idx="578">
                  <c:v>44306</c:v>
                </c:pt>
                <c:pt idx="579">
                  <c:v>44307</c:v>
                </c:pt>
                <c:pt idx="580">
                  <c:v>44308</c:v>
                </c:pt>
                <c:pt idx="581">
                  <c:v>44309</c:v>
                </c:pt>
                <c:pt idx="582">
                  <c:v>44312</c:v>
                </c:pt>
                <c:pt idx="583">
                  <c:v>44313</c:v>
                </c:pt>
                <c:pt idx="584">
                  <c:v>44314</c:v>
                </c:pt>
                <c:pt idx="585">
                  <c:v>44315</c:v>
                </c:pt>
                <c:pt idx="586">
                  <c:v>44316</c:v>
                </c:pt>
                <c:pt idx="587">
                  <c:v>44319</c:v>
                </c:pt>
                <c:pt idx="588">
                  <c:v>44320</c:v>
                </c:pt>
                <c:pt idx="589">
                  <c:v>44321</c:v>
                </c:pt>
                <c:pt idx="590">
                  <c:v>44322</c:v>
                </c:pt>
                <c:pt idx="591">
                  <c:v>44323</c:v>
                </c:pt>
                <c:pt idx="592">
                  <c:v>44326</c:v>
                </c:pt>
                <c:pt idx="593">
                  <c:v>44327</c:v>
                </c:pt>
                <c:pt idx="594">
                  <c:v>44328</c:v>
                </c:pt>
                <c:pt idx="595">
                  <c:v>44329</c:v>
                </c:pt>
                <c:pt idx="596">
                  <c:v>44330</c:v>
                </c:pt>
                <c:pt idx="597">
                  <c:v>44333</c:v>
                </c:pt>
                <c:pt idx="598">
                  <c:v>44334</c:v>
                </c:pt>
                <c:pt idx="599">
                  <c:v>44335</c:v>
                </c:pt>
                <c:pt idx="600">
                  <c:v>44336</c:v>
                </c:pt>
                <c:pt idx="601">
                  <c:v>44337</c:v>
                </c:pt>
                <c:pt idx="602">
                  <c:v>44340</c:v>
                </c:pt>
                <c:pt idx="603">
                  <c:v>44341</c:v>
                </c:pt>
                <c:pt idx="604">
                  <c:v>44342</c:v>
                </c:pt>
                <c:pt idx="605">
                  <c:v>44343</c:v>
                </c:pt>
                <c:pt idx="606">
                  <c:v>44344</c:v>
                </c:pt>
                <c:pt idx="607">
                  <c:v>44348</c:v>
                </c:pt>
                <c:pt idx="608">
                  <c:v>44349</c:v>
                </c:pt>
                <c:pt idx="609">
                  <c:v>44350</c:v>
                </c:pt>
                <c:pt idx="610">
                  <c:v>44351</c:v>
                </c:pt>
                <c:pt idx="611">
                  <c:v>44354</c:v>
                </c:pt>
                <c:pt idx="612">
                  <c:v>44355</c:v>
                </c:pt>
                <c:pt idx="613">
                  <c:v>44356</c:v>
                </c:pt>
                <c:pt idx="614">
                  <c:v>44357</c:v>
                </c:pt>
                <c:pt idx="615">
                  <c:v>44358</c:v>
                </c:pt>
                <c:pt idx="616">
                  <c:v>44361</c:v>
                </c:pt>
                <c:pt idx="617">
                  <c:v>44362</c:v>
                </c:pt>
                <c:pt idx="618">
                  <c:v>44363</c:v>
                </c:pt>
                <c:pt idx="619">
                  <c:v>44364</c:v>
                </c:pt>
                <c:pt idx="620">
                  <c:v>44365</c:v>
                </c:pt>
                <c:pt idx="621">
                  <c:v>44368</c:v>
                </c:pt>
                <c:pt idx="622">
                  <c:v>44369</c:v>
                </c:pt>
                <c:pt idx="623">
                  <c:v>44370</c:v>
                </c:pt>
                <c:pt idx="624">
                  <c:v>44371</c:v>
                </c:pt>
                <c:pt idx="625">
                  <c:v>44372</c:v>
                </c:pt>
                <c:pt idx="626">
                  <c:v>44375</c:v>
                </c:pt>
                <c:pt idx="627">
                  <c:v>44376</c:v>
                </c:pt>
                <c:pt idx="628">
                  <c:v>44377</c:v>
                </c:pt>
                <c:pt idx="629">
                  <c:v>44378</c:v>
                </c:pt>
                <c:pt idx="630">
                  <c:v>44379</c:v>
                </c:pt>
                <c:pt idx="631">
                  <c:v>44383</c:v>
                </c:pt>
                <c:pt idx="632">
                  <c:v>44384</c:v>
                </c:pt>
                <c:pt idx="633">
                  <c:v>44385</c:v>
                </c:pt>
                <c:pt idx="634">
                  <c:v>44386</c:v>
                </c:pt>
                <c:pt idx="635">
                  <c:v>44389</c:v>
                </c:pt>
                <c:pt idx="636">
                  <c:v>44390</c:v>
                </c:pt>
                <c:pt idx="637">
                  <c:v>44391</c:v>
                </c:pt>
                <c:pt idx="638">
                  <c:v>44392</c:v>
                </c:pt>
                <c:pt idx="639">
                  <c:v>44393</c:v>
                </c:pt>
                <c:pt idx="640">
                  <c:v>44396</c:v>
                </c:pt>
                <c:pt idx="641">
                  <c:v>44397</c:v>
                </c:pt>
                <c:pt idx="642">
                  <c:v>44398</c:v>
                </c:pt>
                <c:pt idx="643">
                  <c:v>44399</c:v>
                </c:pt>
                <c:pt idx="644">
                  <c:v>44400</c:v>
                </c:pt>
                <c:pt idx="645">
                  <c:v>44403</c:v>
                </c:pt>
                <c:pt idx="646">
                  <c:v>44404</c:v>
                </c:pt>
                <c:pt idx="647">
                  <c:v>44405</c:v>
                </c:pt>
                <c:pt idx="648">
                  <c:v>44406</c:v>
                </c:pt>
                <c:pt idx="649">
                  <c:v>44407</c:v>
                </c:pt>
                <c:pt idx="650">
                  <c:v>44410</c:v>
                </c:pt>
                <c:pt idx="651">
                  <c:v>44411</c:v>
                </c:pt>
                <c:pt idx="652">
                  <c:v>44412</c:v>
                </c:pt>
                <c:pt idx="653">
                  <c:v>44413</c:v>
                </c:pt>
                <c:pt idx="654">
                  <c:v>44414</c:v>
                </c:pt>
                <c:pt idx="655">
                  <c:v>44417</c:v>
                </c:pt>
                <c:pt idx="656">
                  <c:v>44418</c:v>
                </c:pt>
                <c:pt idx="657">
                  <c:v>44419</c:v>
                </c:pt>
                <c:pt idx="658">
                  <c:v>44420</c:v>
                </c:pt>
                <c:pt idx="659">
                  <c:v>44421</c:v>
                </c:pt>
                <c:pt idx="660">
                  <c:v>44424</c:v>
                </c:pt>
                <c:pt idx="661">
                  <c:v>44425</c:v>
                </c:pt>
                <c:pt idx="662">
                  <c:v>44426</c:v>
                </c:pt>
                <c:pt idx="663">
                  <c:v>44427</c:v>
                </c:pt>
                <c:pt idx="664">
                  <c:v>44428</c:v>
                </c:pt>
                <c:pt idx="665">
                  <c:v>44431</c:v>
                </c:pt>
                <c:pt idx="666">
                  <c:v>44432</c:v>
                </c:pt>
                <c:pt idx="667">
                  <c:v>44433</c:v>
                </c:pt>
                <c:pt idx="668">
                  <c:v>44434</c:v>
                </c:pt>
                <c:pt idx="669">
                  <c:v>44435</c:v>
                </c:pt>
                <c:pt idx="670">
                  <c:v>44438</c:v>
                </c:pt>
                <c:pt idx="671">
                  <c:v>44439</c:v>
                </c:pt>
                <c:pt idx="672">
                  <c:v>44440</c:v>
                </c:pt>
                <c:pt idx="673">
                  <c:v>44441</c:v>
                </c:pt>
                <c:pt idx="674">
                  <c:v>44442</c:v>
                </c:pt>
                <c:pt idx="675">
                  <c:v>44446</c:v>
                </c:pt>
                <c:pt idx="676">
                  <c:v>44447</c:v>
                </c:pt>
                <c:pt idx="677">
                  <c:v>44448</c:v>
                </c:pt>
                <c:pt idx="678">
                  <c:v>44449</c:v>
                </c:pt>
                <c:pt idx="679">
                  <c:v>44452</c:v>
                </c:pt>
                <c:pt idx="680">
                  <c:v>44453</c:v>
                </c:pt>
                <c:pt idx="681">
                  <c:v>44454</c:v>
                </c:pt>
                <c:pt idx="682">
                  <c:v>44455</c:v>
                </c:pt>
                <c:pt idx="683">
                  <c:v>44456</c:v>
                </c:pt>
                <c:pt idx="684">
                  <c:v>44459</c:v>
                </c:pt>
                <c:pt idx="685">
                  <c:v>44460</c:v>
                </c:pt>
                <c:pt idx="686">
                  <c:v>44461</c:v>
                </c:pt>
                <c:pt idx="687">
                  <c:v>44462</c:v>
                </c:pt>
                <c:pt idx="688">
                  <c:v>44463</c:v>
                </c:pt>
                <c:pt idx="689">
                  <c:v>44466</c:v>
                </c:pt>
                <c:pt idx="690">
                  <c:v>44467</c:v>
                </c:pt>
                <c:pt idx="691">
                  <c:v>44468</c:v>
                </c:pt>
                <c:pt idx="692">
                  <c:v>44469</c:v>
                </c:pt>
                <c:pt idx="693">
                  <c:v>44470</c:v>
                </c:pt>
                <c:pt idx="694">
                  <c:v>44473</c:v>
                </c:pt>
                <c:pt idx="695">
                  <c:v>44474</c:v>
                </c:pt>
                <c:pt idx="696">
                  <c:v>44475</c:v>
                </c:pt>
                <c:pt idx="697">
                  <c:v>44476</c:v>
                </c:pt>
                <c:pt idx="698">
                  <c:v>44477</c:v>
                </c:pt>
                <c:pt idx="699">
                  <c:v>44480</c:v>
                </c:pt>
                <c:pt idx="700">
                  <c:v>44481</c:v>
                </c:pt>
                <c:pt idx="701">
                  <c:v>44482</c:v>
                </c:pt>
                <c:pt idx="702">
                  <c:v>44483</c:v>
                </c:pt>
                <c:pt idx="703">
                  <c:v>44484</c:v>
                </c:pt>
                <c:pt idx="704">
                  <c:v>44487</c:v>
                </c:pt>
                <c:pt idx="705">
                  <c:v>44488</c:v>
                </c:pt>
                <c:pt idx="706">
                  <c:v>44489</c:v>
                </c:pt>
                <c:pt idx="707">
                  <c:v>44490</c:v>
                </c:pt>
                <c:pt idx="708">
                  <c:v>44491</c:v>
                </c:pt>
                <c:pt idx="709">
                  <c:v>44494</c:v>
                </c:pt>
                <c:pt idx="710">
                  <c:v>44495</c:v>
                </c:pt>
                <c:pt idx="711">
                  <c:v>44496</c:v>
                </c:pt>
                <c:pt idx="712">
                  <c:v>44497</c:v>
                </c:pt>
                <c:pt idx="713">
                  <c:v>44498</c:v>
                </c:pt>
                <c:pt idx="714">
                  <c:v>44501</c:v>
                </c:pt>
                <c:pt idx="715">
                  <c:v>44502</c:v>
                </c:pt>
                <c:pt idx="716">
                  <c:v>44503</c:v>
                </c:pt>
                <c:pt idx="717">
                  <c:v>44504</c:v>
                </c:pt>
                <c:pt idx="718">
                  <c:v>44505</c:v>
                </c:pt>
                <c:pt idx="719">
                  <c:v>44508</c:v>
                </c:pt>
                <c:pt idx="720">
                  <c:v>44509</c:v>
                </c:pt>
                <c:pt idx="721">
                  <c:v>44510</c:v>
                </c:pt>
                <c:pt idx="722">
                  <c:v>44511</c:v>
                </c:pt>
                <c:pt idx="723">
                  <c:v>44512</c:v>
                </c:pt>
                <c:pt idx="724">
                  <c:v>44515</c:v>
                </c:pt>
                <c:pt idx="725">
                  <c:v>44516</c:v>
                </c:pt>
                <c:pt idx="726">
                  <c:v>44517</c:v>
                </c:pt>
                <c:pt idx="727">
                  <c:v>44518</c:v>
                </c:pt>
                <c:pt idx="728">
                  <c:v>44519</c:v>
                </c:pt>
                <c:pt idx="729">
                  <c:v>44522</c:v>
                </c:pt>
                <c:pt idx="730">
                  <c:v>44523</c:v>
                </c:pt>
                <c:pt idx="731">
                  <c:v>44524</c:v>
                </c:pt>
                <c:pt idx="732">
                  <c:v>44526</c:v>
                </c:pt>
                <c:pt idx="733">
                  <c:v>44529</c:v>
                </c:pt>
                <c:pt idx="734">
                  <c:v>44530</c:v>
                </c:pt>
                <c:pt idx="735">
                  <c:v>44531</c:v>
                </c:pt>
                <c:pt idx="736">
                  <c:v>44532</c:v>
                </c:pt>
                <c:pt idx="737">
                  <c:v>44533</c:v>
                </c:pt>
                <c:pt idx="738">
                  <c:v>44536</c:v>
                </c:pt>
                <c:pt idx="739">
                  <c:v>44537</c:v>
                </c:pt>
                <c:pt idx="740">
                  <c:v>44538</c:v>
                </c:pt>
                <c:pt idx="741">
                  <c:v>44539</c:v>
                </c:pt>
                <c:pt idx="742">
                  <c:v>44540</c:v>
                </c:pt>
                <c:pt idx="743">
                  <c:v>44543</c:v>
                </c:pt>
                <c:pt idx="744">
                  <c:v>44544</c:v>
                </c:pt>
                <c:pt idx="745">
                  <c:v>44545</c:v>
                </c:pt>
                <c:pt idx="746">
                  <c:v>44546</c:v>
                </c:pt>
                <c:pt idx="747">
                  <c:v>44547</c:v>
                </c:pt>
                <c:pt idx="748">
                  <c:v>44550</c:v>
                </c:pt>
                <c:pt idx="749">
                  <c:v>44551</c:v>
                </c:pt>
                <c:pt idx="750">
                  <c:v>44552</c:v>
                </c:pt>
                <c:pt idx="751">
                  <c:v>44553</c:v>
                </c:pt>
                <c:pt idx="752">
                  <c:v>44557</c:v>
                </c:pt>
                <c:pt idx="753">
                  <c:v>44558</c:v>
                </c:pt>
                <c:pt idx="754">
                  <c:v>44559</c:v>
                </c:pt>
                <c:pt idx="755">
                  <c:v>44560</c:v>
                </c:pt>
                <c:pt idx="756">
                  <c:v>44561</c:v>
                </c:pt>
                <c:pt idx="757">
                  <c:v>44564</c:v>
                </c:pt>
                <c:pt idx="758">
                  <c:v>44565</c:v>
                </c:pt>
                <c:pt idx="759">
                  <c:v>44566</c:v>
                </c:pt>
                <c:pt idx="760">
                  <c:v>44567</c:v>
                </c:pt>
                <c:pt idx="761">
                  <c:v>44568</c:v>
                </c:pt>
                <c:pt idx="762">
                  <c:v>44571</c:v>
                </c:pt>
                <c:pt idx="763">
                  <c:v>44572</c:v>
                </c:pt>
                <c:pt idx="764">
                  <c:v>44573</c:v>
                </c:pt>
                <c:pt idx="765">
                  <c:v>44574</c:v>
                </c:pt>
                <c:pt idx="766">
                  <c:v>44575</c:v>
                </c:pt>
                <c:pt idx="767">
                  <c:v>44579</c:v>
                </c:pt>
                <c:pt idx="768">
                  <c:v>44580</c:v>
                </c:pt>
                <c:pt idx="769">
                  <c:v>44581</c:v>
                </c:pt>
                <c:pt idx="770">
                  <c:v>44582</c:v>
                </c:pt>
                <c:pt idx="771">
                  <c:v>44585</c:v>
                </c:pt>
                <c:pt idx="772">
                  <c:v>44586</c:v>
                </c:pt>
                <c:pt idx="773">
                  <c:v>44587</c:v>
                </c:pt>
                <c:pt idx="774">
                  <c:v>44588</c:v>
                </c:pt>
                <c:pt idx="775">
                  <c:v>44589</c:v>
                </c:pt>
                <c:pt idx="776">
                  <c:v>44592</c:v>
                </c:pt>
                <c:pt idx="777">
                  <c:v>44593</c:v>
                </c:pt>
                <c:pt idx="778">
                  <c:v>44594</c:v>
                </c:pt>
                <c:pt idx="779">
                  <c:v>44595</c:v>
                </c:pt>
                <c:pt idx="780">
                  <c:v>44596</c:v>
                </c:pt>
                <c:pt idx="781">
                  <c:v>44599</c:v>
                </c:pt>
                <c:pt idx="782">
                  <c:v>44600</c:v>
                </c:pt>
                <c:pt idx="783">
                  <c:v>44601</c:v>
                </c:pt>
                <c:pt idx="784">
                  <c:v>44602</c:v>
                </c:pt>
                <c:pt idx="785">
                  <c:v>44603</c:v>
                </c:pt>
                <c:pt idx="786">
                  <c:v>44606</c:v>
                </c:pt>
                <c:pt idx="787">
                  <c:v>44607</c:v>
                </c:pt>
                <c:pt idx="788">
                  <c:v>44608</c:v>
                </c:pt>
                <c:pt idx="789">
                  <c:v>44609</c:v>
                </c:pt>
                <c:pt idx="790">
                  <c:v>44610</c:v>
                </c:pt>
                <c:pt idx="791">
                  <c:v>44614</c:v>
                </c:pt>
                <c:pt idx="792">
                  <c:v>44615</c:v>
                </c:pt>
                <c:pt idx="793">
                  <c:v>44616</c:v>
                </c:pt>
                <c:pt idx="794">
                  <c:v>44617</c:v>
                </c:pt>
                <c:pt idx="795">
                  <c:v>44620</c:v>
                </c:pt>
                <c:pt idx="796">
                  <c:v>44621</c:v>
                </c:pt>
                <c:pt idx="797">
                  <c:v>44622</c:v>
                </c:pt>
                <c:pt idx="798">
                  <c:v>44623</c:v>
                </c:pt>
                <c:pt idx="799">
                  <c:v>44624</c:v>
                </c:pt>
                <c:pt idx="800">
                  <c:v>44627</c:v>
                </c:pt>
                <c:pt idx="801">
                  <c:v>44628</c:v>
                </c:pt>
                <c:pt idx="802">
                  <c:v>44629</c:v>
                </c:pt>
                <c:pt idx="803">
                  <c:v>44630</c:v>
                </c:pt>
                <c:pt idx="804">
                  <c:v>44631</c:v>
                </c:pt>
                <c:pt idx="805">
                  <c:v>44634</c:v>
                </c:pt>
                <c:pt idx="806">
                  <c:v>44635</c:v>
                </c:pt>
                <c:pt idx="807">
                  <c:v>44636</c:v>
                </c:pt>
                <c:pt idx="808">
                  <c:v>44637</c:v>
                </c:pt>
                <c:pt idx="809">
                  <c:v>44638</c:v>
                </c:pt>
                <c:pt idx="810">
                  <c:v>44641</c:v>
                </c:pt>
                <c:pt idx="811">
                  <c:v>44642</c:v>
                </c:pt>
                <c:pt idx="812">
                  <c:v>44643</c:v>
                </c:pt>
                <c:pt idx="813">
                  <c:v>44644</c:v>
                </c:pt>
                <c:pt idx="814">
                  <c:v>44645</c:v>
                </c:pt>
                <c:pt idx="815">
                  <c:v>44648</c:v>
                </c:pt>
                <c:pt idx="816">
                  <c:v>44649</c:v>
                </c:pt>
                <c:pt idx="817">
                  <c:v>44650</c:v>
                </c:pt>
                <c:pt idx="818">
                  <c:v>44651</c:v>
                </c:pt>
                <c:pt idx="819">
                  <c:v>44652</c:v>
                </c:pt>
                <c:pt idx="820">
                  <c:v>44655</c:v>
                </c:pt>
                <c:pt idx="821">
                  <c:v>44656</c:v>
                </c:pt>
                <c:pt idx="822">
                  <c:v>44657</c:v>
                </c:pt>
                <c:pt idx="823">
                  <c:v>44658</c:v>
                </c:pt>
                <c:pt idx="824">
                  <c:v>44659</c:v>
                </c:pt>
                <c:pt idx="825">
                  <c:v>44662</c:v>
                </c:pt>
                <c:pt idx="826">
                  <c:v>44663</c:v>
                </c:pt>
                <c:pt idx="827">
                  <c:v>44664</c:v>
                </c:pt>
                <c:pt idx="828">
                  <c:v>44665</c:v>
                </c:pt>
                <c:pt idx="829">
                  <c:v>44669</c:v>
                </c:pt>
                <c:pt idx="830">
                  <c:v>44670</c:v>
                </c:pt>
                <c:pt idx="831">
                  <c:v>44671</c:v>
                </c:pt>
                <c:pt idx="832">
                  <c:v>44672</c:v>
                </c:pt>
                <c:pt idx="833">
                  <c:v>44673</c:v>
                </c:pt>
                <c:pt idx="834">
                  <c:v>44676</c:v>
                </c:pt>
                <c:pt idx="835">
                  <c:v>44677</c:v>
                </c:pt>
                <c:pt idx="836">
                  <c:v>44678</c:v>
                </c:pt>
                <c:pt idx="837">
                  <c:v>44679</c:v>
                </c:pt>
                <c:pt idx="838">
                  <c:v>44680</c:v>
                </c:pt>
                <c:pt idx="839">
                  <c:v>44683</c:v>
                </c:pt>
                <c:pt idx="840">
                  <c:v>44684</c:v>
                </c:pt>
                <c:pt idx="841">
                  <c:v>44685</c:v>
                </c:pt>
                <c:pt idx="842">
                  <c:v>44686</c:v>
                </c:pt>
                <c:pt idx="843">
                  <c:v>44687</c:v>
                </c:pt>
                <c:pt idx="844">
                  <c:v>44690</c:v>
                </c:pt>
                <c:pt idx="845">
                  <c:v>44691</c:v>
                </c:pt>
                <c:pt idx="846">
                  <c:v>44692</c:v>
                </c:pt>
                <c:pt idx="847">
                  <c:v>44693</c:v>
                </c:pt>
                <c:pt idx="848">
                  <c:v>44694</c:v>
                </c:pt>
                <c:pt idx="849">
                  <c:v>44697</c:v>
                </c:pt>
                <c:pt idx="850">
                  <c:v>44698</c:v>
                </c:pt>
                <c:pt idx="851">
                  <c:v>44699</c:v>
                </c:pt>
                <c:pt idx="852">
                  <c:v>44700</c:v>
                </c:pt>
                <c:pt idx="853">
                  <c:v>44701</c:v>
                </c:pt>
                <c:pt idx="854">
                  <c:v>44704</c:v>
                </c:pt>
                <c:pt idx="855">
                  <c:v>44705</c:v>
                </c:pt>
                <c:pt idx="856">
                  <c:v>44706</c:v>
                </c:pt>
                <c:pt idx="857">
                  <c:v>44707</c:v>
                </c:pt>
                <c:pt idx="858">
                  <c:v>44708</c:v>
                </c:pt>
                <c:pt idx="859">
                  <c:v>44712</c:v>
                </c:pt>
                <c:pt idx="860">
                  <c:v>44713</c:v>
                </c:pt>
                <c:pt idx="861">
                  <c:v>44714</c:v>
                </c:pt>
                <c:pt idx="862">
                  <c:v>44715</c:v>
                </c:pt>
                <c:pt idx="863">
                  <c:v>44718</c:v>
                </c:pt>
                <c:pt idx="864">
                  <c:v>44719</c:v>
                </c:pt>
                <c:pt idx="865">
                  <c:v>44720</c:v>
                </c:pt>
                <c:pt idx="866">
                  <c:v>44721</c:v>
                </c:pt>
                <c:pt idx="867">
                  <c:v>44722</c:v>
                </c:pt>
                <c:pt idx="868">
                  <c:v>44725</c:v>
                </c:pt>
                <c:pt idx="869">
                  <c:v>44726</c:v>
                </c:pt>
                <c:pt idx="870">
                  <c:v>44727</c:v>
                </c:pt>
                <c:pt idx="871">
                  <c:v>44728</c:v>
                </c:pt>
                <c:pt idx="872">
                  <c:v>44729</c:v>
                </c:pt>
                <c:pt idx="873">
                  <c:v>44733</c:v>
                </c:pt>
                <c:pt idx="874">
                  <c:v>44734</c:v>
                </c:pt>
                <c:pt idx="875">
                  <c:v>44735</c:v>
                </c:pt>
                <c:pt idx="876">
                  <c:v>44736</c:v>
                </c:pt>
                <c:pt idx="877">
                  <c:v>44739</c:v>
                </c:pt>
                <c:pt idx="878">
                  <c:v>44740</c:v>
                </c:pt>
                <c:pt idx="879">
                  <c:v>44741</c:v>
                </c:pt>
                <c:pt idx="880">
                  <c:v>44742</c:v>
                </c:pt>
                <c:pt idx="881">
                  <c:v>44743</c:v>
                </c:pt>
                <c:pt idx="882">
                  <c:v>44747</c:v>
                </c:pt>
                <c:pt idx="883">
                  <c:v>44748</c:v>
                </c:pt>
                <c:pt idx="884">
                  <c:v>44749</c:v>
                </c:pt>
                <c:pt idx="885">
                  <c:v>44750</c:v>
                </c:pt>
                <c:pt idx="886">
                  <c:v>44753</c:v>
                </c:pt>
                <c:pt idx="887">
                  <c:v>44754</c:v>
                </c:pt>
                <c:pt idx="888">
                  <c:v>44755</c:v>
                </c:pt>
                <c:pt idx="889">
                  <c:v>44756</c:v>
                </c:pt>
                <c:pt idx="890">
                  <c:v>44757</c:v>
                </c:pt>
                <c:pt idx="891">
                  <c:v>44760</c:v>
                </c:pt>
                <c:pt idx="892">
                  <c:v>44761</c:v>
                </c:pt>
                <c:pt idx="893">
                  <c:v>44762</c:v>
                </c:pt>
                <c:pt idx="894">
                  <c:v>44763</c:v>
                </c:pt>
                <c:pt idx="895">
                  <c:v>44764</c:v>
                </c:pt>
                <c:pt idx="896">
                  <c:v>44767</c:v>
                </c:pt>
                <c:pt idx="897">
                  <c:v>44768</c:v>
                </c:pt>
                <c:pt idx="898">
                  <c:v>44769</c:v>
                </c:pt>
                <c:pt idx="899">
                  <c:v>44770</c:v>
                </c:pt>
                <c:pt idx="900">
                  <c:v>44771</c:v>
                </c:pt>
                <c:pt idx="901">
                  <c:v>44774</c:v>
                </c:pt>
                <c:pt idx="902">
                  <c:v>44775</c:v>
                </c:pt>
                <c:pt idx="903">
                  <c:v>44776</c:v>
                </c:pt>
                <c:pt idx="904">
                  <c:v>44777</c:v>
                </c:pt>
                <c:pt idx="905">
                  <c:v>44778</c:v>
                </c:pt>
                <c:pt idx="906">
                  <c:v>44781</c:v>
                </c:pt>
                <c:pt idx="907">
                  <c:v>44782</c:v>
                </c:pt>
                <c:pt idx="908">
                  <c:v>44783</c:v>
                </c:pt>
                <c:pt idx="909">
                  <c:v>44784</c:v>
                </c:pt>
                <c:pt idx="910">
                  <c:v>44785</c:v>
                </c:pt>
                <c:pt idx="911">
                  <c:v>44788</c:v>
                </c:pt>
                <c:pt idx="912">
                  <c:v>44789</c:v>
                </c:pt>
                <c:pt idx="913">
                  <c:v>44790</c:v>
                </c:pt>
                <c:pt idx="914">
                  <c:v>44791</c:v>
                </c:pt>
                <c:pt idx="915">
                  <c:v>44792</c:v>
                </c:pt>
                <c:pt idx="916">
                  <c:v>44795</c:v>
                </c:pt>
                <c:pt idx="917">
                  <c:v>44796</c:v>
                </c:pt>
                <c:pt idx="918">
                  <c:v>44797</c:v>
                </c:pt>
                <c:pt idx="919">
                  <c:v>44798</c:v>
                </c:pt>
                <c:pt idx="920">
                  <c:v>44799</c:v>
                </c:pt>
                <c:pt idx="921">
                  <c:v>44802</c:v>
                </c:pt>
                <c:pt idx="922">
                  <c:v>44803</c:v>
                </c:pt>
                <c:pt idx="923">
                  <c:v>44804</c:v>
                </c:pt>
                <c:pt idx="924">
                  <c:v>44805</c:v>
                </c:pt>
                <c:pt idx="925">
                  <c:v>44806</c:v>
                </c:pt>
                <c:pt idx="926">
                  <c:v>44810</c:v>
                </c:pt>
                <c:pt idx="927">
                  <c:v>44811</c:v>
                </c:pt>
                <c:pt idx="928">
                  <c:v>44812</c:v>
                </c:pt>
                <c:pt idx="929">
                  <c:v>44813</c:v>
                </c:pt>
                <c:pt idx="930">
                  <c:v>44816</c:v>
                </c:pt>
                <c:pt idx="931">
                  <c:v>44817</c:v>
                </c:pt>
                <c:pt idx="932">
                  <c:v>44818</c:v>
                </c:pt>
                <c:pt idx="933">
                  <c:v>44819</c:v>
                </c:pt>
                <c:pt idx="934">
                  <c:v>44820</c:v>
                </c:pt>
                <c:pt idx="935">
                  <c:v>44823</c:v>
                </c:pt>
                <c:pt idx="936">
                  <c:v>44824</c:v>
                </c:pt>
                <c:pt idx="937">
                  <c:v>44825</c:v>
                </c:pt>
                <c:pt idx="938">
                  <c:v>44826</c:v>
                </c:pt>
                <c:pt idx="939">
                  <c:v>44827</c:v>
                </c:pt>
                <c:pt idx="940">
                  <c:v>44830</c:v>
                </c:pt>
                <c:pt idx="941">
                  <c:v>44831</c:v>
                </c:pt>
                <c:pt idx="942">
                  <c:v>44832</c:v>
                </c:pt>
                <c:pt idx="943">
                  <c:v>44833</c:v>
                </c:pt>
                <c:pt idx="944">
                  <c:v>44834</c:v>
                </c:pt>
                <c:pt idx="945">
                  <c:v>44837</c:v>
                </c:pt>
                <c:pt idx="946">
                  <c:v>44838</c:v>
                </c:pt>
                <c:pt idx="947">
                  <c:v>44839</c:v>
                </c:pt>
                <c:pt idx="948">
                  <c:v>44840</c:v>
                </c:pt>
                <c:pt idx="949">
                  <c:v>44841</c:v>
                </c:pt>
                <c:pt idx="950">
                  <c:v>44844</c:v>
                </c:pt>
                <c:pt idx="951">
                  <c:v>44845</c:v>
                </c:pt>
                <c:pt idx="952">
                  <c:v>44846</c:v>
                </c:pt>
                <c:pt idx="953">
                  <c:v>44847</c:v>
                </c:pt>
                <c:pt idx="954">
                  <c:v>44848</c:v>
                </c:pt>
                <c:pt idx="955">
                  <c:v>44851</c:v>
                </c:pt>
                <c:pt idx="956">
                  <c:v>44852</c:v>
                </c:pt>
                <c:pt idx="957">
                  <c:v>44853</c:v>
                </c:pt>
                <c:pt idx="958">
                  <c:v>44854</c:v>
                </c:pt>
                <c:pt idx="959">
                  <c:v>44855</c:v>
                </c:pt>
                <c:pt idx="960">
                  <c:v>44858</c:v>
                </c:pt>
                <c:pt idx="961">
                  <c:v>44859</c:v>
                </c:pt>
                <c:pt idx="962">
                  <c:v>44860</c:v>
                </c:pt>
                <c:pt idx="963">
                  <c:v>44861</c:v>
                </c:pt>
                <c:pt idx="964">
                  <c:v>44862</c:v>
                </c:pt>
                <c:pt idx="965">
                  <c:v>44865</c:v>
                </c:pt>
                <c:pt idx="966">
                  <c:v>44866</c:v>
                </c:pt>
                <c:pt idx="967">
                  <c:v>44867</c:v>
                </c:pt>
                <c:pt idx="968">
                  <c:v>44868</c:v>
                </c:pt>
                <c:pt idx="969">
                  <c:v>44869</c:v>
                </c:pt>
                <c:pt idx="970">
                  <c:v>44872</c:v>
                </c:pt>
                <c:pt idx="971">
                  <c:v>44873</c:v>
                </c:pt>
                <c:pt idx="972">
                  <c:v>44874</c:v>
                </c:pt>
                <c:pt idx="973">
                  <c:v>44875</c:v>
                </c:pt>
                <c:pt idx="974">
                  <c:v>44876</c:v>
                </c:pt>
                <c:pt idx="975">
                  <c:v>44879</c:v>
                </c:pt>
                <c:pt idx="976">
                  <c:v>44880</c:v>
                </c:pt>
                <c:pt idx="977">
                  <c:v>44881</c:v>
                </c:pt>
                <c:pt idx="978">
                  <c:v>44882</c:v>
                </c:pt>
                <c:pt idx="979">
                  <c:v>44883</c:v>
                </c:pt>
                <c:pt idx="980">
                  <c:v>44886</c:v>
                </c:pt>
                <c:pt idx="981">
                  <c:v>44887</c:v>
                </c:pt>
                <c:pt idx="982">
                  <c:v>44888</c:v>
                </c:pt>
                <c:pt idx="983">
                  <c:v>44890</c:v>
                </c:pt>
                <c:pt idx="984">
                  <c:v>44893</c:v>
                </c:pt>
                <c:pt idx="985">
                  <c:v>44894</c:v>
                </c:pt>
                <c:pt idx="986">
                  <c:v>44895</c:v>
                </c:pt>
                <c:pt idx="987">
                  <c:v>44896</c:v>
                </c:pt>
                <c:pt idx="988">
                  <c:v>44897</c:v>
                </c:pt>
                <c:pt idx="989">
                  <c:v>44900</c:v>
                </c:pt>
                <c:pt idx="990">
                  <c:v>44901</c:v>
                </c:pt>
                <c:pt idx="991">
                  <c:v>44902</c:v>
                </c:pt>
                <c:pt idx="992">
                  <c:v>44903</c:v>
                </c:pt>
                <c:pt idx="993">
                  <c:v>44904</c:v>
                </c:pt>
                <c:pt idx="994">
                  <c:v>44907</c:v>
                </c:pt>
                <c:pt idx="995">
                  <c:v>44908</c:v>
                </c:pt>
                <c:pt idx="996">
                  <c:v>44909</c:v>
                </c:pt>
                <c:pt idx="997">
                  <c:v>44910</c:v>
                </c:pt>
                <c:pt idx="998">
                  <c:v>44911</c:v>
                </c:pt>
                <c:pt idx="999">
                  <c:v>44914</c:v>
                </c:pt>
                <c:pt idx="1000">
                  <c:v>44915</c:v>
                </c:pt>
                <c:pt idx="1001">
                  <c:v>44916</c:v>
                </c:pt>
                <c:pt idx="1002">
                  <c:v>44917</c:v>
                </c:pt>
                <c:pt idx="1003">
                  <c:v>44918</c:v>
                </c:pt>
                <c:pt idx="1004">
                  <c:v>44922</c:v>
                </c:pt>
              </c:numCache>
            </c:numRef>
          </c:cat>
          <c:val>
            <c:numRef>
              <c:f>[1]AAPL!$H$2:$H$1006</c:f>
              <c:numCache>
                <c:formatCode>General</c:formatCode>
                <c:ptCount val="1005"/>
                <c:pt idx="0">
                  <c:v>0</c:v>
                </c:pt>
                <c:pt idx="1">
                  <c:v>-9.9607370820668728E-2</c:v>
                </c:pt>
                <c:pt idx="2">
                  <c:v>4.2689301844312633E-2</c:v>
                </c:pt>
                <c:pt idx="3">
                  <c:v>-2.2258465459557009E-3</c:v>
                </c:pt>
                <c:pt idx="4">
                  <c:v>1.9063125481680654E-2</c:v>
                </c:pt>
                <c:pt idx="5">
                  <c:v>1.6981731343283624E-2</c:v>
                </c:pt>
                <c:pt idx="6">
                  <c:v>3.1961908080671009E-3</c:v>
                </c:pt>
                <c:pt idx="7">
                  <c:v>-9.8180231516767913E-3</c:v>
                </c:pt>
                <c:pt idx="8">
                  <c:v>-1.5037048527785202E-2</c:v>
                </c:pt>
                <c:pt idx="9">
                  <c:v>2.0466719999999938E-2</c:v>
                </c:pt>
                <c:pt idx="10">
                  <c:v>1.2216606142726461E-2</c:v>
                </c:pt>
                <c:pt idx="11">
                  <c:v>5.9377563976312775E-3</c:v>
                </c:pt>
                <c:pt idx="12">
                  <c:v>6.15942512511225E-3</c:v>
                </c:pt>
                <c:pt idx="13">
                  <c:v>-2.2446140928649827E-2</c:v>
                </c:pt>
                <c:pt idx="14">
                  <c:v>4.044331270858903E-3</c:v>
                </c:pt>
                <c:pt idx="15">
                  <c:v>-7.926221413721346E-3</c:v>
                </c:pt>
                <c:pt idx="16">
                  <c:v>3.3136870547134878E-2</c:v>
                </c:pt>
                <c:pt idx="17">
                  <c:v>-9.2545134192321132E-3</c:v>
                </c:pt>
                <c:pt idx="18">
                  <c:v>-1.0364759811522517E-2</c:v>
                </c:pt>
                <c:pt idx="19">
                  <c:v>6.833468157924405E-2</c:v>
                </c:pt>
                <c:pt idx="20">
                  <c:v>7.2012344931919881E-3</c:v>
                </c:pt>
                <c:pt idx="21">
                  <c:v>4.8065367746574772E-4</c:v>
                </c:pt>
                <c:pt idx="22">
                  <c:v>2.8404971693370751E-2</c:v>
                </c:pt>
                <c:pt idx="23">
                  <c:v>1.71094423357665E-2</c:v>
                </c:pt>
                <c:pt idx="24">
                  <c:v>3.4454014672369304E-4</c:v>
                </c:pt>
                <c:pt idx="25">
                  <c:v>-1.8939393504605384E-2</c:v>
                </c:pt>
                <c:pt idx="26">
                  <c:v>-3.1005030279512846E-3</c:v>
                </c:pt>
                <c:pt idx="27">
                  <c:v>-5.7509065019445416E-3</c:v>
                </c:pt>
                <c:pt idx="28">
                  <c:v>8.6171756414885614E-3</c:v>
                </c:pt>
                <c:pt idx="29">
                  <c:v>-4.1547662238866634E-3</c:v>
                </c:pt>
                <c:pt idx="30">
                  <c:v>3.6432720010939335E-3</c:v>
                </c:pt>
                <c:pt idx="31">
                  <c:v>-2.2248477230715213E-3</c:v>
                </c:pt>
                <c:pt idx="32">
                  <c:v>2.9925595587372289E-3</c:v>
                </c:pt>
                <c:pt idx="33">
                  <c:v>6.4354300092637207E-3</c:v>
                </c:pt>
                <c:pt idx="34">
                  <c:v>-5.6385746672091841E-3</c:v>
                </c:pt>
                <c:pt idx="35">
                  <c:v>1.1165696508025125E-2</c:v>
                </c:pt>
                <c:pt idx="36">
                  <c:v>7.2844770769497913E-3</c:v>
                </c:pt>
                <c:pt idx="37">
                  <c:v>5.7397694022798262E-4</c:v>
                </c:pt>
                <c:pt idx="38">
                  <c:v>3.0975506223827054E-3</c:v>
                </c:pt>
                <c:pt idx="39">
                  <c:v>-9.8359011799827867E-3</c:v>
                </c:pt>
                <c:pt idx="40">
                  <c:v>1.0511164216513436E-2</c:v>
                </c:pt>
                <c:pt idx="41">
                  <c:v>5.0294793393153014E-3</c:v>
                </c:pt>
                <c:pt idx="42">
                  <c:v>-1.8197781372861765E-3</c:v>
                </c:pt>
                <c:pt idx="43">
                  <c:v>-5.7539793767447112E-3</c:v>
                </c:pt>
                <c:pt idx="44">
                  <c:v>-1.157462728456049E-2</c:v>
                </c:pt>
                <c:pt idx="45">
                  <c:v>2.3768347826085279E-3</c:v>
                </c:pt>
                <c:pt idx="46">
                  <c:v>3.4642229260488655E-2</c:v>
                </c:pt>
                <c:pt idx="47">
                  <c:v>1.1235394577323365E-2</c:v>
                </c:pt>
                <c:pt idx="48">
                  <c:v>4.4221103438812914E-3</c:v>
                </c:pt>
                <c:pt idx="49">
                  <c:v>1.1116547856846681E-2</c:v>
                </c:pt>
                <c:pt idx="50">
                  <c:v>1.3008218864817289E-2</c:v>
                </c:pt>
                <c:pt idx="51">
                  <c:v>1.0208510857694364E-2</c:v>
                </c:pt>
                <c:pt idx="52">
                  <c:v>-7.9247099686264866E-3</c:v>
                </c:pt>
                <c:pt idx="53">
                  <c:v>8.7385621615825304E-3</c:v>
                </c:pt>
                <c:pt idx="54">
                  <c:v>3.6830313842893148E-2</c:v>
                </c:pt>
                <c:pt idx="55">
                  <c:v>-2.0708350416901999E-2</c:v>
                </c:pt>
                <c:pt idx="56">
                  <c:v>-1.2091075381500671E-2</c:v>
                </c:pt>
                <c:pt idx="57">
                  <c:v>-1.0331736561794203E-2</c:v>
                </c:pt>
                <c:pt idx="58">
                  <c:v>8.9941007117768645E-3</c:v>
                </c:pt>
                <c:pt idx="59">
                  <c:v>1.3264710564016013E-3</c:v>
                </c:pt>
                <c:pt idx="60">
                  <c:v>6.517571004662992E-3</c:v>
                </c:pt>
                <c:pt idx="61">
                  <c:v>6.7913031174793304E-3</c:v>
                </c:pt>
                <c:pt idx="62">
                  <c:v>1.4536707497663448E-2</c:v>
                </c:pt>
                <c:pt idx="63">
                  <c:v>6.8549838809404129E-3</c:v>
                </c:pt>
                <c:pt idx="64">
                  <c:v>1.7404452832168182E-3</c:v>
                </c:pt>
                <c:pt idx="65">
                  <c:v>6.6942407543719717E-3</c:v>
                </c:pt>
                <c:pt idx="66">
                  <c:v>1.5736081218274078E-2</c:v>
                </c:pt>
                <c:pt idx="67">
                  <c:v>-2.9985406097534639E-3</c:v>
                </c:pt>
                <c:pt idx="68">
                  <c:v>5.6140150375938447E-3</c:v>
                </c:pt>
                <c:pt idx="69">
                  <c:v>-8.3241951614831944E-3</c:v>
                </c:pt>
                <c:pt idx="70">
                  <c:v>-4.0211109127141764E-4</c:v>
                </c:pt>
                <c:pt idx="71">
                  <c:v>1.8102278234068958E-3</c:v>
                </c:pt>
                <c:pt idx="72">
                  <c:v>1.0040656729226605E-4</c:v>
                </c:pt>
                <c:pt idx="73">
                  <c:v>1.9473043914680188E-2</c:v>
                </c:pt>
                <c:pt idx="74">
                  <c:v>3.5937379295281069E-3</c:v>
                </c:pt>
                <c:pt idx="75">
                  <c:v>3.2865692141665903E-3</c:v>
                </c:pt>
                <c:pt idx="76">
                  <c:v>1.4423292426538836E-2</c:v>
                </c:pt>
                <c:pt idx="77">
                  <c:v>-1.5422788035913682E-3</c:v>
                </c:pt>
                <c:pt idx="78">
                  <c:v>-9.0751301588118949E-3</c:v>
                </c:pt>
                <c:pt idx="79">
                  <c:v>-4.7739477786438167E-3</c:v>
                </c:pt>
                <c:pt idx="80">
                  <c:v>1.5173567984854142E-3</c:v>
                </c:pt>
                <c:pt idx="81">
                  <c:v>-1.9256145838424499E-2</c:v>
                </c:pt>
                <c:pt idx="82">
                  <c:v>4.908558329595869E-2</c:v>
                </c:pt>
                <c:pt idx="83">
                  <c:v>-6.5077521089159651E-3</c:v>
                </c:pt>
                <c:pt idx="84">
                  <c:v>1.2431308149416509E-2</c:v>
                </c:pt>
                <c:pt idx="85">
                  <c:v>-1.5442757969303389E-2</c:v>
                </c:pt>
                <c:pt idx="86">
                  <c:v>-2.6957003587049111E-2</c:v>
                </c:pt>
                <c:pt idx="87">
                  <c:v>1.9714088533961949E-4</c:v>
                </c:pt>
                <c:pt idx="88">
                  <c:v>-1.0744169965270389E-2</c:v>
                </c:pt>
                <c:pt idx="89">
                  <c:v>-1.7636548425667642E-2</c:v>
                </c:pt>
                <c:pt idx="90">
                  <c:v>-5.8119446520719986E-2</c:v>
                </c:pt>
                <c:pt idx="91">
                  <c:v>1.5830303682963454E-2</c:v>
                </c:pt>
                <c:pt idx="92">
                  <c:v>1.1979200424484304E-2</c:v>
                </c:pt>
                <c:pt idx="93">
                  <c:v>-4.3997485857949492E-3</c:v>
                </c:pt>
                <c:pt idx="94">
                  <c:v>-5.6818181818182323E-3</c:v>
                </c:pt>
                <c:pt idx="95">
                  <c:v>-3.1269862433862317E-2</c:v>
                </c:pt>
                <c:pt idx="96">
                  <c:v>1.9170965517963046E-2</c:v>
                </c:pt>
                <c:pt idx="97">
                  <c:v>-2.0471638993713182E-2</c:v>
                </c:pt>
                <c:pt idx="98">
                  <c:v>-1.7069679395995241E-2</c:v>
                </c:pt>
                <c:pt idx="99">
                  <c:v>-3.840609955680474E-3</c:v>
                </c:pt>
                <c:pt idx="100">
                  <c:v>-4.1347935408169167E-3</c:v>
                </c:pt>
                <c:pt idx="101">
                  <c:v>-4.7690737758866453E-3</c:v>
                </c:pt>
                <c:pt idx="102">
                  <c:v>5.1866049117914592E-3</c:v>
                </c:pt>
                <c:pt idx="103">
                  <c:v>-1.8115512773628439E-2</c:v>
                </c:pt>
                <c:pt idx="104">
                  <c:v>-1.0110264003643565E-2</c:v>
                </c:pt>
                <c:pt idx="105">
                  <c:v>3.658393452777986E-2</c:v>
                </c:pt>
                <c:pt idx="106">
                  <c:v>1.614335337341366E-2</c:v>
                </c:pt>
                <c:pt idx="107">
                  <c:v>1.4681758066473316E-2</c:v>
                </c:pt>
                <c:pt idx="108">
                  <c:v>2.6616952812871242E-2</c:v>
                </c:pt>
                <c:pt idx="109">
                  <c:v>1.277942730599757E-2</c:v>
                </c:pt>
                <c:pt idx="110">
                  <c:v>1.1579582511164199E-2</c:v>
                </c:pt>
                <c:pt idx="111">
                  <c:v>-3.1825471625184232E-3</c:v>
                </c:pt>
                <c:pt idx="112">
                  <c:v>-2.0604562117410019E-4</c:v>
                </c:pt>
                <c:pt idx="113">
                  <c:v>-7.2623644506768503E-3</c:v>
                </c:pt>
                <c:pt idx="114">
                  <c:v>5.9665662349990267E-3</c:v>
                </c:pt>
                <c:pt idx="115">
                  <c:v>2.3518469235133344E-2</c:v>
                </c:pt>
                <c:pt idx="116">
                  <c:v>-2.9226506006078123E-3</c:v>
                </c:pt>
                <c:pt idx="117">
                  <c:v>8.0356397237708599E-3</c:v>
                </c:pt>
                <c:pt idx="118">
                  <c:v>-3.4092448246567653E-3</c:v>
                </c:pt>
                <c:pt idx="119">
                  <c:v>-1.0061374383740773E-3</c:v>
                </c:pt>
                <c:pt idx="120">
                  <c:v>-1.5157578809547823E-2</c:v>
                </c:pt>
                <c:pt idx="121">
                  <c:v>2.1629062877575711E-2</c:v>
                </c:pt>
                <c:pt idx="122">
                  <c:v>-3.0030029428829152E-4</c:v>
                </c:pt>
                <c:pt idx="123">
                  <c:v>-9.111865242578121E-3</c:v>
                </c:pt>
                <c:pt idx="124">
                  <c:v>1.8340763945028371E-2</c:v>
                </c:pt>
                <c:pt idx="125">
                  <c:v>5.8545868349375585E-3</c:v>
                </c:pt>
                <c:pt idx="126">
                  <c:v>8.2869236578093641E-3</c:v>
                </c:pt>
                <c:pt idx="127">
                  <c:v>-8.8062226152096912E-4</c:v>
                </c:pt>
                <c:pt idx="128">
                  <c:v>-2.0613974844322036E-2</c:v>
                </c:pt>
                <c:pt idx="129">
                  <c:v>6.0993899390182627E-3</c:v>
                </c:pt>
                <c:pt idx="130">
                  <c:v>9.8886501711656916E-3</c:v>
                </c:pt>
                <c:pt idx="131">
                  <c:v>-7.2823698722112029E-3</c:v>
                </c:pt>
                <c:pt idx="132">
                  <c:v>7.6827955390335045E-3</c:v>
                </c:pt>
                <c:pt idx="133">
                  <c:v>9.3950022745694639E-3</c:v>
                </c:pt>
                <c:pt idx="134">
                  <c:v>-3.4599092262594944E-3</c:v>
                </c:pt>
                <c:pt idx="135">
                  <c:v>-5.6234327628361669E-3</c:v>
                </c:pt>
                <c:pt idx="136">
                  <c:v>1.1359704495315315E-2</c:v>
                </c:pt>
                <c:pt idx="137">
                  <c:v>-1.492758893459889E-2</c:v>
                </c:pt>
                <c:pt idx="138">
                  <c:v>2.2854060375222085E-2</c:v>
                </c:pt>
                <c:pt idx="139">
                  <c:v>7.8177589035808293E-3</c:v>
                </c:pt>
                <c:pt idx="140">
                  <c:v>-8.1400116479612983E-4</c:v>
                </c:pt>
                <c:pt idx="141">
                  <c:v>-7.9072027603391826E-3</c:v>
                </c:pt>
                <c:pt idx="142">
                  <c:v>3.4779247709801897E-3</c:v>
                </c:pt>
                <c:pt idx="143">
                  <c:v>9.3385383780006936E-3</c:v>
                </c:pt>
                <c:pt idx="144">
                  <c:v>-4.2922168749415235E-3</c:v>
                </c:pt>
                <c:pt idx="145">
                  <c:v>2.0404214963119172E-2</c:v>
                </c:pt>
                <c:pt idx="146">
                  <c:v>-2.1639129614687613E-2</c:v>
                </c:pt>
                <c:pt idx="147">
                  <c:v>-2.1158125842081321E-2</c:v>
                </c:pt>
                <c:pt idx="148">
                  <c:v>-5.234784722384378E-2</c:v>
                </c:pt>
                <c:pt idx="149">
                  <c:v>1.8930402791567102E-2</c:v>
                </c:pt>
                <c:pt idx="150">
                  <c:v>1.0355289340101548E-2</c:v>
                </c:pt>
                <c:pt idx="151">
                  <c:v>2.2055869053692501E-2</c:v>
                </c:pt>
                <c:pt idx="152">
                  <c:v>-1.1994239276183039E-2</c:v>
                </c:pt>
                <c:pt idx="153">
                  <c:v>-2.5374794260912825E-3</c:v>
                </c:pt>
                <c:pt idx="154">
                  <c:v>4.2348384723631005E-2</c:v>
                </c:pt>
                <c:pt idx="155">
                  <c:v>-2.9765038043738312E-2</c:v>
                </c:pt>
                <c:pt idx="156">
                  <c:v>-4.9814845869297075E-3</c:v>
                </c:pt>
                <c:pt idx="157">
                  <c:v>2.3594705589477405E-2</c:v>
                </c:pt>
                <c:pt idx="158">
                  <c:v>1.8644106537530236E-2</c:v>
                </c:pt>
                <c:pt idx="159">
                  <c:v>4.7501780936487492E-5</c:v>
                </c:pt>
                <c:pt idx="160">
                  <c:v>1.0838562464346779E-2</c:v>
                </c:pt>
                <c:pt idx="161">
                  <c:v>-8.4646350639583368E-4</c:v>
                </c:pt>
                <c:pt idx="162">
                  <c:v>-4.6220500942464438E-2</c:v>
                </c:pt>
                <c:pt idx="163">
                  <c:v>1.8999230161863556E-2</c:v>
                </c:pt>
                <c:pt idx="164">
                  <c:v>-1.1283839192525846E-2</c:v>
                </c:pt>
                <c:pt idx="165">
                  <c:v>6.7104034735423479E-3</c:v>
                </c:pt>
                <c:pt idx="166">
                  <c:v>1.6931815306767906E-2</c:v>
                </c:pt>
                <c:pt idx="167">
                  <c:v>-1.291765968934766E-3</c:v>
                </c:pt>
                <c:pt idx="168">
                  <c:v>-1.4563609953748946E-2</c:v>
                </c:pt>
                <c:pt idx="169">
                  <c:v>1.6966495225405831E-2</c:v>
                </c:pt>
                <c:pt idx="170">
                  <c:v>1.9551584309927206E-2</c:v>
                </c:pt>
                <c:pt idx="171">
                  <c:v>-9.3792198049502673E-5</c:v>
                </c:pt>
                <c:pt idx="172">
                  <c:v>4.2671106492939703E-3</c:v>
                </c:pt>
                <c:pt idx="173">
                  <c:v>1.1813027034598633E-2</c:v>
                </c:pt>
                <c:pt idx="174">
                  <c:v>3.1795109031750979E-2</c:v>
                </c:pt>
                <c:pt idx="175">
                  <c:v>-2.2362360076253474E-3</c:v>
                </c:pt>
                <c:pt idx="176">
                  <c:v>-1.9454014423847199E-2</c:v>
                </c:pt>
                <c:pt idx="177">
                  <c:v>5.2571062857142969E-3</c:v>
                </c:pt>
                <c:pt idx="178">
                  <c:v>3.6380356030207839E-3</c:v>
                </c:pt>
                <c:pt idx="179">
                  <c:v>9.3792842660496145E-3</c:v>
                </c:pt>
                <c:pt idx="180">
                  <c:v>-8.1249538425290924E-3</c:v>
                </c:pt>
                <c:pt idx="181">
                  <c:v>-1.4618084191959202E-2</c:v>
                </c:pt>
                <c:pt idx="182">
                  <c:v>4.5469343599309209E-3</c:v>
                </c:pt>
                <c:pt idx="183">
                  <c:v>-4.7549743964886426E-3</c:v>
                </c:pt>
                <c:pt idx="184">
                  <c:v>1.5389599977567059E-2</c:v>
                </c:pt>
                <c:pt idx="185">
                  <c:v>-5.1576709044022229E-3</c:v>
                </c:pt>
                <c:pt idx="186">
                  <c:v>-4.8660330165082311E-3</c:v>
                </c:pt>
                <c:pt idx="187">
                  <c:v>2.3535288418415456E-2</c:v>
                </c:pt>
                <c:pt idx="188">
                  <c:v>2.7682100281287703E-3</c:v>
                </c:pt>
                <c:pt idx="189">
                  <c:v>-2.506784852518551E-2</c:v>
                </c:pt>
                <c:pt idx="190">
                  <c:v>8.49470191835211E-3</c:v>
                </c:pt>
                <c:pt idx="191">
                  <c:v>2.8031825811726252E-2</c:v>
                </c:pt>
                <c:pt idx="192">
                  <c:v>2.2025461821528758E-4</c:v>
                </c:pt>
                <c:pt idx="193">
                  <c:v>-1.1714983030300163E-2</c:v>
                </c:pt>
                <c:pt idx="194">
                  <c:v>1.1720178670951098E-2</c:v>
                </c:pt>
                <c:pt idx="195">
                  <c:v>1.3478377306963996E-2</c:v>
                </c:pt>
                <c:pt idx="196">
                  <c:v>2.6598340242484753E-2</c:v>
                </c:pt>
                <c:pt idx="197">
                  <c:v>-1.4394479001076377E-3</c:v>
                </c:pt>
                <c:pt idx="198">
                  <c:v>-2.3317421008477446E-3</c:v>
                </c:pt>
                <c:pt idx="199">
                  <c:v>-4.0371067809925609E-3</c:v>
                </c:pt>
                <c:pt idx="200">
                  <c:v>3.8827666319540821E-3</c:v>
                </c:pt>
                <c:pt idx="201">
                  <c:v>4.8028051683099982E-3</c:v>
                </c:pt>
                <c:pt idx="202">
                  <c:v>1.7342717865695745E-2</c:v>
                </c:pt>
                <c:pt idx="203">
                  <c:v>-2.2867573454202761E-3</c:v>
                </c:pt>
                <c:pt idx="204">
                  <c:v>1.3418836025376413E-2</c:v>
                </c:pt>
                <c:pt idx="205">
                  <c:v>1.6449050627487249E-3</c:v>
                </c:pt>
                <c:pt idx="206">
                  <c:v>1.2316282124969158E-2</c:v>
                </c:pt>
                <c:pt idx="207">
                  <c:v>1.0017049233514541E-2</c:v>
                </c:pt>
                <c:pt idx="208">
                  <c:v>-2.3127933778310572E-2</c:v>
                </c:pt>
                <c:pt idx="209">
                  <c:v>-1.2329319325232735E-4</c:v>
                </c:pt>
                <c:pt idx="210">
                  <c:v>2.2609553935863724E-2</c:v>
                </c:pt>
                <c:pt idx="211">
                  <c:v>2.8380817307940509E-2</c:v>
                </c:pt>
                <c:pt idx="212">
                  <c:v>6.5670860271414E-3</c:v>
                </c:pt>
                <c:pt idx="213">
                  <c:v>-1.4368776699029695E-3</c:v>
                </c:pt>
                <c:pt idx="214">
                  <c:v>4.2775249208171218E-4</c:v>
                </c:pt>
                <c:pt idx="215">
                  <c:v>8.5134507390283165E-3</c:v>
                </c:pt>
                <c:pt idx="216">
                  <c:v>2.7368616655547573E-3</c:v>
                </c:pt>
                <c:pt idx="217">
                  <c:v>7.9187970834906363E-3</c:v>
                </c:pt>
                <c:pt idx="218">
                  <c:v>-9.1540804353595906E-4</c:v>
                </c:pt>
                <c:pt idx="219">
                  <c:v>9.5816463454465595E-3</c:v>
                </c:pt>
                <c:pt idx="220">
                  <c:v>-6.9194388777555904E-3</c:v>
                </c:pt>
                <c:pt idx="221">
                  <c:v>1.1879347433484844E-2</c:v>
                </c:pt>
                <c:pt idx="222">
                  <c:v>5.0421431353959711E-3</c:v>
                </c:pt>
                <c:pt idx="223">
                  <c:v>-3.0325719795560868E-3</c:v>
                </c:pt>
                <c:pt idx="224">
                  <c:v>-1.1641458210478572E-2</c:v>
                </c:pt>
                <c:pt idx="225">
                  <c:v>-4.4834377524457514E-3</c:v>
                </c:pt>
                <c:pt idx="226">
                  <c:v>-8.7785959687480819E-4</c:v>
                </c:pt>
                <c:pt idx="227">
                  <c:v>1.7533791733516768E-2</c:v>
                </c:pt>
                <c:pt idx="228">
                  <c:v>-7.8086422316123727E-3</c:v>
                </c:pt>
                <c:pt idx="229">
                  <c:v>1.3432168801478017E-2</c:v>
                </c:pt>
                <c:pt idx="230">
                  <c:v>-2.2027927449640439E-3</c:v>
                </c:pt>
                <c:pt idx="231">
                  <c:v>-1.1562192703461149E-2</c:v>
                </c:pt>
                <c:pt idx="232">
                  <c:v>-1.7830072413233311E-2</c:v>
                </c:pt>
                <c:pt idx="233">
                  <c:v>8.8262859667933569E-3</c:v>
                </c:pt>
                <c:pt idx="234">
                  <c:v>1.4671032770567471E-2</c:v>
                </c:pt>
                <c:pt idx="235">
                  <c:v>1.931622950446088E-2</c:v>
                </c:pt>
                <c:pt idx="236">
                  <c:v>-1.4000148173326399E-2</c:v>
                </c:pt>
                <c:pt idx="237">
                  <c:v>5.8444475118635264E-3</c:v>
                </c:pt>
                <c:pt idx="238">
                  <c:v>8.5294096306880451E-3</c:v>
                </c:pt>
                <c:pt idx="239">
                  <c:v>2.5483031007114132E-3</c:v>
                </c:pt>
                <c:pt idx="240">
                  <c:v>1.3593163297521915E-2</c:v>
                </c:pt>
                <c:pt idx="241">
                  <c:v>1.7117907094105878E-2</c:v>
                </c:pt>
                <c:pt idx="242">
                  <c:v>1.9653399251249315E-3</c:v>
                </c:pt>
                <c:pt idx="243">
                  <c:v>-2.3894011998232267E-3</c:v>
                </c:pt>
                <c:pt idx="244">
                  <c:v>1.0009151641072744E-3</c:v>
                </c:pt>
                <c:pt idx="245">
                  <c:v>-2.0712235727973205E-3</c:v>
                </c:pt>
                <c:pt idx="246">
                  <c:v>1.631833643976055E-2</c:v>
                </c:pt>
                <c:pt idx="247">
                  <c:v>9.5066197183113488E-4</c:v>
                </c:pt>
                <c:pt idx="248">
                  <c:v>1.984034980154159E-2</c:v>
                </c:pt>
                <c:pt idx="249">
                  <c:v>-3.7948328268111453E-4</c:v>
                </c:pt>
                <c:pt idx="250">
                  <c:v>5.9351279200192675E-3</c:v>
                </c:pt>
                <c:pt idx="251">
                  <c:v>7.3065453062517438E-3</c:v>
                </c:pt>
                <c:pt idx="252">
                  <c:v>2.2816332990058363E-2</c:v>
                </c:pt>
                <c:pt idx="253">
                  <c:v>-9.7220440227189231E-3</c:v>
                </c:pt>
                <c:pt idx="254">
                  <c:v>7.9682482054463932E-3</c:v>
                </c:pt>
                <c:pt idx="255">
                  <c:v>-4.7030422162658292E-3</c:v>
                </c:pt>
                <c:pt idx="256">
                  <c:v>1.6086288892454004E-2</c:v>
                </c:pt>
                <c:pt idx="257">
                  <c:v>2.1240805814956909E-2</c:v>
                </c:pt>
                <c:pt idx="258">
                  <c:v>2.2607111421928394E-3</c:v>
                </c:pt>
                <c:pt idx="259">
                  <c:v>2.1364367790327687E-2</c:v>
                </c:pt>
                <c:pt idx="260">
                  <c:v>-1.3503281511945464E-2</c:v>
                </c:pt>
                <c:pt idx="261">
                  <c:v>-4.2855188508513775E-3</c:v>
                </c:pt>
                <c:pt idx="262">
                  <c:v>1.2526485675165233E-2</c:v>
                </c:pt>
                <c:pt idx="263">
                  <c:v>1.1070993809694007E-2</c:v>
                </c:pt>
                <c:pt idx="264">
                  <c:v>-6.7769080998874021E-3</c:v>
                </c:pt>
                <c:pt idx="265">
                  <c:v>3.5695232379691078E-3</c:v>
                </c:pt>
                <c:pt idx="266">
                  <c:v>4.8158638407604926E-3</c:v>
                </c:pt>
                <c:pt idx="267">
                  <c:v>-2.8819846675317562E-3</c:v>
                </c:pt>
                <c:pt idx="268">
                  <c:v>-2.9405246827372666E-2</c:v>
                </c:pt>
                <c:pt idx="269">
                  <c:v>2.8289340218572212E-2</c:v>
                </c:pt>
                <c:pt idx="270">
                  <c:v>2.0932329995500876E-2</c:v>
                </c:pt>
                <c:pt idx="271">
                  <c:v>-1.4490966448675868E-3</c:v>
                </c:pt>
                <c:pt idx="272">
                  <c:v>-4.4338741400422821E-2</c:v>
                </c:pt>
                <c:pt idx="273">
                  <c:v>-2.7462892249998649E-3</c:v>
                </c:pt>
                <c:pt idx="274">
                  <c:v>3.3013684532965826E-2</c:v>
                </c:pt>
                <c:pt idx="275">
                  <c:v>8.1543168724023118E-3</c:v>
                </c:pt>
                <c:pt idx="276">
                  <c:v>1.1696935323181723E-2</c:v>
                </c:pt>
                <c:pt idx="277">
                  <c:v>-1.5928145282817829E-2</c:v>
                </c:pt>
                <c:pt idx="278">
                  <c:v>4.7495172327594037E-3</c:v>
                </c:pt>
                <c:pt idx="279">
                  <c:v>-6.0332889827381386E-3</c:v>
                </c:pt>
                <c:pt idx="280">
                  <c:v>2.374778129584354E-2</c:v>
                </c:pt>
                <c:pt idx="281">
                  <c:v>-7.1210755334568665E-3</c:v>
                </c:pt>
                <c:pt idx="282">
                  <c:v>2.4630160059468942E-4</c:v>
                </c:pt>
                <c:pt idx="283">
                  <c:v>-1.8310545561697089E-2</c:v>
                </c:pt>
                <c:pt idx="284">
                  <c:v>1.4482746081504683E-2</c:v>
                </c:pt>
                <c:pt idx="285">
                  <c:v>-1.0258970524182454E-2</c:v>
                </c:pt>
                <c:pt idx="286">
                  <c:v>-2.263503050771265E-2</c:v>
                </c:pt>
                <c:pt idx="287">
                  <c:v>-4.7500388340535382E-2</c:v>
                </c:pt>
                <c:pt idx="288">
                  <c:v>-3.3872172080546603E-2</c:v>
                </c:pt>
                <c:pt idx="289">
                  <c:v>1.5863663532226902E-2</c:v>
                </c:pt>
                <c:pt idx="290">
                  <c:v>-6.5368202709535694E-2</c:v>
                </c:pt>
                <c:pt idx="291">
                  <c:v>-5.8498101425774607E-4</c:v>
                </c:pt>
                <c:pt idx="292">
                  <c:v>9.3100722452486018E-2</c:v>
                </c:pt>
                <c:pt idx="293">
                  <c:v>-3.1759272203196409E-2</c:v>
                </c:pt>
                <c:pt idx="294">
                  <c:v>4.6384569434962719E-2</c:v>
                </c:pt>
                <c:pt idx="295">
                  <c:v>-3.2437009511449011E-2</c:v>
                </c:pt>
                <c:pt idx="296">
                  <c:v>-1.3280116894164307E-2</c:v>
                </c:pt>
                <c:pt idx="297">
                  <c:v>-7.9092094246271949E-2</c:v>
                </c:pt>
                <c:pt idx="298">
                  <c:v>7.2021576946091237E-2</c:v>
                </c:pt>
                <c:pt idx="299">
                  <c:v>-3.4730511456234736E-2</c:v>
                </c:pt>
                <c:pt idx="300">
                  <c:v>-9.8754662854581343E-2</c:v>
                </c:pt>
                <c:pt idx="301">
                  <c:v>0.11980826040056836</c:v>
                </c:pt>
                <c:pt idx="302">
                  <c:v>-0.12864694751232164</c:v>
                </c:pt>
                <c:pt idx="303">
                  <c:v>4.3970074101975287E-2</c:v>
                </c:pt>
                <c:pt idx="304">
                  <c:v>-2.4479949379103139E-2</c:v>
                </c:pt>
                <c:pt idx="305">
                  <c:v>-7.6620586208293595E-3</c:v>
                </c:pt>
                <c:pt idx="306">
                  <c:v>-6.3485562545959606E-2</c:v>
                </c:pt>
                <c:pt idx="307">
                  <c:v>-2.1244145502632317E-2</c:v>
                </c:pt>
                <c:pt idx="308">
                  <c:v>0.10032539288363695</c:v>
                </c:pt>
                <c:pt idx="309">
                  <c:v>-5.5087491006360345E-3</c:v>
                </c:pt>
                <c:pt idx="310">
                  <c:v>5.262300337857595E-2</c:v>
                </c:pt>
                <c:pt idx="311">
                  <c:v>-4.1402259071316228E-2</c:v>
                </c:pt>
                <c:pt idx="312">
                  <c:v>2.8537950616970287E-2</c:v>
                </c:pt>
                <c:pt idx="313">
                  <c:v>-2.0407519648483197E-3</c:v>
                </c:pt>
                <c:pt idx="314">
                  <c:v>-5.2617045188314115E-2</c:v>
                </c:pt>
                <c:pt idx="315">
                  <c:v>1.6686679395846227E-2</c:v>
                </c:pt>
                <c:pt idx="316">
                  <c:v>-1.4371404544038069E-2</c:v>
                </c:pt>
                <c:pt idx="317">
                  <c:v>8.7237461791351611E-2</c:v>
                </c:pt>
                <c:pt idx="318">
                  <c:v>-1.158230654931991E-2</c:v>
                </c:pt>
                <c:pt idx="319">
                  <c:v>2.5594635180037129E-2</c:v>
                </c:pt>
                <c:pt idx="320">
                  <c:v>7.2160857754399732E-3</c:v>
                </c:pt>
                <c:pt idx="321">
                  <c:v>1.962762848248456E-2</c:v>
                </c:pt>
                <c:pt idx="322">
                  <c:v>5.0503158279963323E-2</c:v>
                </c:pt>
                <c:pt idx="323">
                  <c:v>-9.1273161802046809E-3</c:v>
                </c:pt>
                <c:pt idx="324">
                  <c:v>7.945758406518344E-3</c:v>
                </c:pt>
                <c:pt idx="325">
                  <c:v>-1.3568718635896371E-2</c:v>
                </c:pt>
                <c:pt idx="326">
                  <c:v>-2.075670526548945E-2</c:v>
                </c:pt>
                <c:pt idx="327">
                  <c:v>-3.0910324801511568E-2</c:v>
                </c:pt>
                <c:pt idx="328">
                  <c:v>2.8803562675463912E-2</c:v>
                </c:pt>
                <c:pt idx="329">
                  <c:v>-3.8754363237831768E-3</c:v>
                </c:pt>
                <c:pt idx="330">
                  <c:v>2.8869577864233165E-2</c:v>
                </c:pt>
                <c:pt idx="331">
                  <c:v>7.0683111283864619E-4</c:v>
                </c:pt>
                <c:pt idx="332">
                  <c:v>-1.6209428278019633E-2</c:v>
                </c:pt>
                <c:pt idx="333">
                  <c:v>3.2845230792385438E-2</c:v>
                </c:pt>
                <c:pt idx="334">
                  <c:v>2.1096082253664994E-2</c:v>
                </c:pt>
                <c:pt idx="335">
                  <c:v>-1.609931992236846E-2</c:v>
                </c:pt>
                <c:pt idx="336">
                  <c:v>1.4148807855569823E-2</c:v>
                </c:pt>
                <c:pt idx="337">
                  <c:v>1.5008841383424176E-2</c:v>
                </c:pt>
                <c:pt idx="338">
                  <c:v>1.0317273965818829E-2</c:v>
                </c:pt>
                <c:pt idx="339">
                  <c:v>1.0344902234043163E-2</c:v>
                </c:pt>
                <c:pt idx="340">
                  <c:v>2.1037769698762698E-2</c:v>
                </c:pt>
                <c:pt idx="341">
                  <c:v>1.5735349489113037E-2</c:v>
                </c:pt>
                <c:pt idx="342">
                  <c:v>-1.142822103607577E-2</c:v>
                </c:pt>
                <c:pt idx="343">
                  <c:v>-1.2074152890733769E-2</c:v>
                </c:pt>
                <c:pt idx="344">
                  <c:v>6.1433968767989899E-3</c:v>
                </c:pt>
                <c:pt idx="345">
                  <c:v>-5.9120499861200493E-3</c:v>
                </c:pt>
                <c:pt idx="346">
                  <c:v>2.3561145846703546E-2</c:v>
                </c:pt>
                <c:pt idx="347">
                  <c:v>-5.7784355036432089E-3</c:v>
                </c:pt>
                <c:pt idx="348">
                  <c:v>1.9448156379988202E-2</c:v>
                </c:pt>
                <c:pt idx="349">
                  <c:v>-7.4554519015586074E-3</c:v>
                </c:pt>
                <c:pt idx="350">
                  <c:v>6.4384028672646032E-3</c:v>
                </c:pt>
                <c:pt idx="351">
                  <c:v>-6.7735077663892973E-3</c:v>
                </c:pt>
                <c:pt idx="352">
                  <c:v>4.356934763731779E-3</c:v>
                </c:pt>
                <c:pt idx="353">
                  <c:v>4.4014965591276933E-4</c:v>
                </c:pt>
                <c:pt idx="354">
                  <c:v>-9.740644147683275E-4</c:v>
                </c:pt>
                <c:pt idx="355">
                  <c:v>1.2297930272404445E-2</c:v>
                </c:pt>
                <c:pt idx="356">
                  <c:v>4.6294483857833857E-3</c:v>
                </c:pt>
                <c:pt idx="357">
                  <c:v>5.5050412012747074E-3</c:v>
                </c:pt>
                <c:pt idx="358">
                  <c:v>-8.6121679209175683E-3</c:v>
                </c:pt>
                <c:pt idx="359">
                  <c:v>2.8480987131273672E-2</c:v>
                </c:pt>
                <c:pt idx="360">
                  <c:v>5.9124947209652223E-3</c:v>
                </c:pt>
                <c:pt idx="361">
                  <c:v>3.1578001117447352E-2</c:v>
                </c:pt>
                <c:pt idx="362">
                  <c:v>2.5727504304834614E-2</c:v>
                </c:pt>
                <c:pt idx="363">
                  <c:v>-4.8010441537359005E-2</c:v>
                </c:pt>
                <c:pt idx="364">
                  <c:v>8.6335101788272972E-3</c:v>
                </c:pt>
                <c:pt idx="365">
                  <c:v>1.2367190520679694E-2</c:v>
                </c:pt>
                <c:pt idx="366">
                  <c:v>2.6502219341723698E-2</c:v>
                </c:pt>
                <c:pt idx="367">
                  <c:v>-1.3917064777906329E-3</c:v>
                </c:pt>
                <c:pt idx="368">
                  <c:v>3.9823658691351405E-4</c:v>
                </c:pt>
                <c:pt idx="369">
                  <c:v>-5.7146445609536078E-3</c:v>
                </c:pt>
                <c:pt idx="370">
                  <c:v>2.616377673567416E-2</c:v>
                </c:pt>
                <c:pt idx="371">
                  <c:v>2.1344788044080243E-2</c:v>
                </c:pt>
                <c:pt idx="372">
                  <c:v>-1.7652044853081472E-2</c:v>
                </c:pt>
                <c:pt idx="373">
                  <c:v>1.3275565331062111E-2</c:v>
                </c:pt>
                <c:pt idx="374">
                  <c:v>-3.0725776019359441E-2</c:v>
                </c:pt>
                <c:pt idx="375">
                  <c:v>2.304667564350682E-2</c:v>
                </c:pt>
                <c:pt idx="376">
                  <c:v>8.3475814030626871E-3</c:v>
                </c:pt>
                <c:pt idx="377">
                  <c:v>-1.8914583955522701E-3</c:v>
                </c:pt>
                <c:pt idx="378">
                  <c:v>0</c:v>
                </c:pt>
                <c:pt idx="379">
                  <c:v>2.6750225008935757E-2</c:v>
                </c:pt>
                <c:pt idx="380">
                  <c:v>-3.1028593692046247E-3</c:v>
                </c:pt>
                <c:pt idx="381">
                  <c:v>2.3290112175909039E-2</c:v>
                </c:pt>
                <c:pt idx="382">
                  <c:v>4.3003173222888602E-3</c:v>
                </c:pt>
                <c:pt idx="383">
                  <c:v>1.7492597739117155E-3</c:v>
                </c:pt>
                <c:pt idx="384">
                  <c:v>-4.6131881695827825E-3</c:v>
                </c:pt>
                <c:pt idx="385">
                  <c:v>1.6548422229861082E-2</c:v>
                </c:pt>
                <c:pt idx="386">
                  <c:v>6.8773147811149737E-3</c:v>
                </c:pt>
                <c:pt idx="387">
                  <c:v>-1.2304927343155359E-2</c:v>
                </c:pt>
                <c:pt idx="388">
                  <c:v>-2.0202543657722449E-3</c:v>
                </c:pt>
                <c:pt idx="389">
                  <c:v>2.1073930301045207E-2</c:v>
                </c:pt>
                <c:pt idx="390">
                  <c:v>-1.3801672750968219E-2</c:v>
                </c:pt>
                <c:pt idx="391">
                  <c:v>2.8092680412370452E-3</c:v>
                </c:pt>
                <c:pt idx="392">
                  <c:v>-4.5516441394190976E-2</c:v>
                </c:pt>
                <c:pt idx="393">
                  <c:v>-2.4772793098466472E-3</c:v>
                </c:pt>
                <c:pt idx="394">
                  <c:v>2.3700265047783997E-2</c:v>
                </c:pt>
                <c:pt idx="395">
                  <c:v>-1.6427550183051198E-2</c:v>
                </c:pt>
                <c:pt idx="396">
                  <c:v>1.9168375771837054E-2</c:v>
                </c:pt>
                <c:pt idx="397">
                  <c:v>1.2100178744737233E-2</c:v>
                </c:pt>
                <c:pt idx="398">
                  <c:v>0.10468863489575542</c:v>
                </c:pt>
                <c:pt idx="399">
                  <c:v>2.5197609162476819E-2</c:v>
                </c:pt>
                <c:pt idx="400">
                  <c:v>6.6781503155479705E-3</c:v>
                </c:pt>
                <c:pt idx="401">
                  <c:v>3.6246659953069749E-3</c:v>
                </c:pt>
                <c:pt idx="402">
                  <c:v>3.4889231118682584E-2</c:v>
                </c:pt>
                <c:pt idx="403">
                  <c:v>-2.4494572972307838E-2</c:v>
                </c:pt>
                <c:pt idx="404">
                  <c:v>1.4534799922561348E-2</c:v>
                </c:pt>
                <c:pt idx="405">
                  <c:v>-2.9739868002573777E-2</c:v>
                </c:pt>
                <c:pt idx="406">
                  <c:v>3.3234304000000048E-2</c:v>
                </c:pt>
                <c:pt idx="407">
                  <c:v>1.769754857627559E-2</c:v>
                </c:pt>
                <c:pt idx="408">
                  <c:v>-8.9123552923686677E-4</c:v>
                </c:pt>
                <c:pt idx="409">
                  <c:v>-2.6108217252065469E-3</c:v>
                </c:pt>
                <c:pt idx="410">
                  <c:v>8.3328055900844245E-3</c:v>
                </c:pt>
                <c:pt idx="411">
                  <c:v>1.2547063277448256E-3</c:v>
                </c:pt>
                <c:pt idx="412">
                  <c:v>2.2189616633051745E-2</c:v>
                </c:pt>
                <c:pt idx="413">
                  <c:v>5.1532453155232139E-2</c:v>
                </c:pt>
                <c:pt idx="414">
                  <c:v>1.1960239319122712E-2</c:v>
                </c:pt>
                <c:pt idx="415">
                  <c:v>-8.2037305397570925E-3</c:v>
                </c:pt>
                <c:pt idx="416">
                  <c:v>1.3599055003381988E-2</c:v>
                </c:pt>
                <c:pt idx="417">
                  <c:v>-1.1954371846544021E-2</c:v>
                </c:pt>
                <c:pt idx="418">
                  <c:v>-1.6198623850913751E-3</c:v>
                </c:pt>
                <c:pt idx="419">
                  <c:v>3.39121438876957E-2</c:v>
                </c:pt>
                <c:pt idx="420">
                  <c:v>3.9832612204186768E-2</c:v>
                </c:pt>
                <c:pt idx="421">
                  <c:v>-2.0718431547391725E-2</c:v>
                </c:pt>
                <c:pt idx="422">
                  <c:v>-8.0060863625305734E-2</c:v>
                </c:pt>
                <c:pt idx="423">
                  <c:v>6.6182993038954585E-4</c:v>
                </c:pt>
                <c:pt idx="424">
                  <c:v>-6.7294965834118425E-2</c:v>
                </c:pt>
                <c:pt idx="425">
                  <c:v>3.9886544938840585E-2</c:v>
                </c:pt>
                <c:pt idx="426">
                  <c:v>-3.2645772246846172E-2</c:v>
                </c:pt>
                <c:pt idx="427">
                  <c:v>-1.3128892644794998E-2</c:v>
                </c:pt>
                <c:pt idx="428">
                  <c:v>3.0000008928571464E-2</c:v>
                </c:pt>
                <c:pt idx="429">
                  <c:v>1.5603328574866904E-3</c:v>
                </c:pt>
                <c:pt idx="430">
                  <c:v>-2.9513622732269207E-2</c:v>
                </c:pt>
                <c:pt idx="431">
                  <c:v>-1.5963623008034222E-2</c:v>
                </c:pt>
                <c:pt idx="432">
                  <c:v>-3.1720138905932171E-2</c:v>
                </c:pt>
                <c:pt idx="433">
                  <c:v>3.0325777997969983E-2</c:v>
                </c:pt>
                <c:pt idx="434">
                  <c:v>1.5715806400512289E-2</c:v>
                </c:pt>
                <c:pt idx="435">
                  <c:v>-4.1946114693607206E-2</c:v>
                </c:pt>
                <c:pt idx="436">
                  <c:v>1.0268838397997415E-2</c:v>
                </c:pt>
                <c:pt idx="437">
                  <c:v>3.7516151935722108E-2</c:v>
                </c:pt>
                <c:pt idx="438">
                  <c:v>2.3868899393203469E-2</c:v>
                </c:pt>
                <c:pt idx="439">
                  <c:v>-7.5678758487114361E-3</c:v>
                </c:pt>
                <c:pt idx="440">
                  <c:v>1.5075835395769399E-2</c:v>
                </c:pt>
                <c:pt idx="441">
                  <c:v>8.4621623083009911E-3</c:v>
                </c:pt>
                <c:pt idx="442">
                  <c:v>-3.2280194945798479E-2</c:v>
                </c:pt>
                <c:pt idx="443">
                  <c:v>3.079103780192094E-2</c:v>
                </c:pt>
                <c:pt idx="444">
                  <c:v>-2.8669493562231807E-2</c:v>
                </c:pt>
                <c:pt idx="445">
                  <c:v>1.69671079191549E-2</c:v>
                </c:pt>
                <c:pt idx="446">
                  <c:v>-9.5586546826786911E-4</c:v>
                </c:pt>
                <c:pt idx="447">
                  <c:v>1.7395842242360349E-2</c:v>
                </c:pt>
                <c:pt idx="448">
                  <c:v>6.3520568833713265E-2</c:v>
                </c:pt>
                <c:pt idx="449">
                  <c:v>-2.6527362917566522E-2</c:v>
                </c:pt>
                <c:pt idx="450">
                  <c:v>7.4322049121766653E-4</c:v>
                </c:pt>
                <c:pt idx="451">
                  <c:v>-3.9607475210703402E-3</c:v>
                </c:pt>
                <c:pt idx="452">
                  <c:v>-1.4000513743687382E-2</c:v>
                </c:pt>
                <c:pt idx="453">
                  <c:v>-2.5541875958877802E-2</c:v>
                </c:pt>
                <c:pt idx="454">
                  <c:v>1.3191920679636482E-2</c:v>
                </c:pt>
                <c:pt idx="455">
                  <c:v>-5.4463363893058059E-3</c:v>
                </c:pt>
                <c:pt idx="456">
                  <c:v>-9.5833231047319778E-3</c:v>
                </c:pt>
                <c:pt idx="457">
                  <c:v>-6.133900647948165E-3</c:v>
                </c:pt>
                <c:pt idx="458">
                  <c:v>8.6943671010475398E-5</c:v>
                </c:pt>
                <c:pt idx="459">
                  <c:v>1.3472359492246122E-2</c:v>
                </c:pt>
                <c:pt idx="460">
                  <c:v>-4.6312187758356549E-2</c:v>
                </c:pt>
                <c:pt idx="461">
                  <c:v>3.7050387690208186E-2</c:v>
                </c:pt>
                <c:pt idx="462">
                  <c:v>-5.601802809573353E-2</c:v>
                </c:pt>
                <c:pt idx="463">
                  <c:v>-8.2678669091684753E-4</c:v>
                </c:pt>
                <c:pt idx="464">
                  <c:v>1.5353544599251867E-2</c:v>
                </c:pt>
                <c:pt idx="465">
                  <c:v>4.0836607373476719E-2</c:v>
                </c:pt>
                <c:pt idx="466">
                  <c:v>3.5493711235155656E-2</c:v>
                </c:pt>
                <c:pt idx="467">
                  <c:v>-2.8563975708342237E-3</c:v>
                </c:pt>
                <c:pt idx="468">
                  <c:v>-1.996800033755175E-2</c:v>
                </c:pt>
                <c:pt idx="469">
                  <c:v>-3.0089322558458642E-3</c:v>
                </c:pt>
                <c:pt idx="470">
                  <c:v>3.0352651286085663E-2</c:v>
                </c:pt>
                <c:pt idx="471">
                  <c:v>-2.3432839960378926E-3</c:v>
                </c:pt>
                <c:pt idx="472">
                  <c:v>4.1945306953650174E-4</c:v>
                </c:pt>
                <c:pt idx="473">
                  <c:v>8.7204509689677856E-3</c:v>
                </c:pt>
                <c:pt idx="474">
                  <c:v>-7.5644553392072433E-3</c:v>
                </c:pt>
                <c:pt idx="475">
                  <c:v>-1.1391238892631161E-2</c:v>
                </c:pt>
                <c:pt idx="476">
                  <c:v>5.1681776257577194E-3</c:v>
                </c:pt>
                <c:pt idx="477">
                  <c:v>-1.0957543922433866E-2</c:v>
                </c:pt>
                <c:pt idx="478">
                  <c:v>-2.9742612229166965E-2</c:v>
                </c:pt>
                <c:pt idx="479">
                  <c:v>1.1594203102225809E-2</c:v>
                </c:pt>
                <c:pt idx="480">
                  <c:v>7.4672311794257151E-3</c:v>
                </c:pt>
                <c:pt idx="481">
                  <c:v>4.826312202243388E-3</c:v>
                </c:pt>
                <c:pt idx="482">
                  <c:v>2.1099640487165061E-2</c:v>
                </c:pt>
                <c:pt idx="483">
                  <c:v>3.0827365875832902E-2</c:v>
                </c:pt>
                <c:pt idx="484">
                  <c:v>2.9335152955221044E-3</c:v>
                </c:pt>
                <c:pt idx="485">
                  <c:v>-1.1374715447273198E-3</c:v>
                </c:pt>
                <c:pt idx="486">
                  <c:v>-5.6125100762566271E-3</c:v>
                </c:pt>
                <c:pt idx="487">
                  <c:v>1.2269938650306678E-2</c:v>
                </c:pt>
                <c:pt idx="488">
                  <c:v>5.0908848484849667E-3</c:v>
                </c:pt>
                <c:pt idx="489">
                  <c:v>-2.0903666688462774E-2</c:v>
                </c:pt>
                <c:pt idx="490">
                  <c:v>1.1988824207495696E-2</c:v>
                </c:pt>
                <c:pt idx="491">
                  <c:v>-6.7347777788830943E-3</c:v>
                </c:pt>
                <c:pt idx="492">
                  <c:v>-5.1466790246980088E-3</c:v>
                </c:pt>
                <c:pt idx="493">
                  <c:v>5.0090310807113791E-2</c:v>
                </c:pt>
                <c:pt idx="494">
                  <c:v>-5.4738036942558743E-4</c:v>
                </c:pt>
                <c:pt idx="495">
                  <c:v>6.9634536728495622E-3</c:v>
                </c:pt>
                <c:pt idx="496">
                  <c:v>-1.5850761830243032E-2</c:v>
                </c:pt>
                <c:pt idx="497">
                  <c:v>1.2395325678341118E-2</c:v>
                </c:pt>
                <c:pt idx="498">
                  <c:v>2.8464548965594583E-2</c:v>
                </c:pt>
                <c:pt idx="499">
                  <c:v>-6.9760233933872096E-3</c:v>
                </c:pt>
                <c:pt idx="500">
                  <c:v>7.7122323305924834E-3</c:v>
                </c:pt>
                <c:pt idx="501">
                  <c:v>3.5765711633206632E-2</c:v>
                </c:pt>
                <c:pt idx="502">
                  <c:v>-1.3314850928160871E-2</c:v>
                </c:pt>
                <c:pt idx="503">
                  <c:v>-8.5266852719909636E-3</c:v>
                </c:pt>
                <c:pt idx="504">
                  <c:v>-7.7026547434740911E-3</c:v>
                </c:pt>
                <c:pt idx="505">
                  <c:v>-2.4719255034753917E-2</c:v>
                </c:pt>
                <c:pt idx="506">
                  <c:v>1.2363735032417056E-2</c:v>
                </c:pt>
                <c:pt idx="507">
                  <c:v>-3.3661530938918105E-2</c:v>
                </c:pt>
                <c:pt idx="508">
                  <c:v>3.4123223287886528E-2</c:v>
                </c:pt>
                <c:pt idx="509">
                  <c:v>8.6312634987972814E-3</c:v>
                </c:pt>
                <c:pt idx="510">
                  <c:v>-2.3248821887569382E-2</c:v>
                </c:pt>
                <c:pt idx="511">
                  <c:v>-1.3955109752057382E-3</c:v>
                </c:pt>
                <c:pt idx="512">
                  <c:v>1.6226676640682891E-2</c:v>
                </c:pt>
                <c:pt idx="513">
                  <c:v>-1.5127167966438759E-2</c:v>
                </c:pt>
                <c:pt idx="514">
                  <c:v>-1.3730548018600519E-2</c:v>
                </c:pt>
                <c:pt idx="515">
                  <c:v>5.42711188789613E-3</c:v>
                </c:pt>
                <c:pt idx="516">
                  <c:v>3.2856113074300142E-2</c:v>
                </c:pt>
                <c:pt idx="517">
                  <c:v>3.6658305208348896E-2</c:v>
                </c:pt>
                <c:pt idx="518">
                  <c:v>1.607373478752594E-2</c:v>
                </c:pt>
                <c:pt idx="519">
                  <c:v>2.7683834085087788E-2</c:v>
                </c:pt>
                <c:pt idx="520">
                  <c:v>1.6793031301329808E-3</c:v>
                </c:pt>
                <c:pt idx="521">
                  <c:v>-7.6837522301269612E-3</c:v>
                </c:pt>
                <c:pt idx="522">
                  <c:v>-3.4985232084826512E-2</c:v>
                </c:pt>
                <c:pt idx="523">
                  <c:v>-3.7420593403475033E-2</c:v>
                </c:pt>
                <c:pt idx="524">
                  <c:v>1.6520096122759398E-2</c:v>
                </c:pt>
                <c:pt idx="525">
                  <c:v>6.3367079643410484E-3</c:v>
                </c:pt>
                <c:pt idx="526">
                  <c:v>-7.7783758879037546E-3</c:v>
                </c:pt>
                <c:pt idx="527">
                  <c:v>2.5757779218190446E-2</c:v>
                </c:pt>
                <c:pt idx="528">
                  <c:v>-4.5855157186512896E-3</c:v>
                </c:pt>
                <c:pt idx="529">
                  <c:v>1.0968777821320774E-3</c:v>
                </c:pt>
                <c:pt idx="530">
                  <c:v>-6.573727074027258E-3</c:v>
                </c:pt>
                <c:pt idx="531">
                  <c:v>-4.5584591044210976E-3</c:v>
                </c:pt>
                <c:pt idx="532">
                  <c:v>-1.9203338645418233E-3</c:v>
                </c:pt>
                <c:pt idx="533">
                  <c:v>1.7759934220380469E-3</c:v>
                </c:pt>
                <c:pt idx="534">
                  <c:v>-1.6103960113169835E-2</c:v>
                </c:pt>
                <c:pt idx="535">
                  <c:v>-1.764401204829158E-2</c:v>
                </c:pt>
                <c:pt idx="536">
                  <c:v>-8.6364187904746093E-3</c:v>
                </c:pt>
                <c:pt idx="537">
                  <c:v>1.2334283506745258E-3</c:v>
                </c:pt>
                <c:pt idx="538">
                  <c:v>-2.9798992446253614E-2</c:v>
                </c:pt>
                <c:pt idx="539">
                  <c:v>-1.1111031746031674E-3</c:v>
                </c:pt>
                <c:pt idx="540">
                  <c:v>-4.0521452085480192E-3</c:v>
                </c:pt>
                <c:pt idx="541">
                  <c:v>-3.4782609250620045E-2</c:v>
                </c:pt>
                <c:pt idx="542">
                  <c:v>2.2316224850256194E-3</c:v>
                </c:pt>
                <c:pt idx="543">
                  <c:v>5.3851219629701186E-2</c:v>
                </c:pt>
                <c:pt idx="544">
                  <c:v>-2.0893637836343792E-2</c:v>
                </c:pt>
                <c:pt idx="545">
                  <c:v>-2.4456561114372777E-2</c:v>
                </c:pt>
                <c:pt idx="546">
                  <c:v>-1.5811904240732422E-2</c:v>
                </c:pt>
                <c:pt idx="547">
                  <c:v>1.0738375361817543E-2</c:v>
                </c:pt>
                <c:pt idx="548">
                  <c:v>-4.1673505875037264E-2</c:v>
                </c:pt>
                <c:pt idx="549">
                  <c:v>4.0649664483932035E-2</c:v>
                </c:pt>
                <c:pt idx="550">
                  <c:v>-9.1666779805658072E-3</c:v>
                </c:pt>
                <c:pt idx="551">
                  <c:v>1.6502716706883191E-2</c:v>
                </c:pt>
                <c:pt idx="552">
                  <c:v>-7.6254510300545197E-3</c:v>
                </c:pt>
                <c:pt idx="553">
                  <c:v>2.4456738200914874E-2</c:v>
                </c:pt>
                <c:pt idx="554">
                  <c:v>1.274297947807046E-2</c:v>
                </c:pt>
                <c:pt idx="555">
                  <c:v>-6.4505694035198458E-3</c:v>
                </c:pt>
                <c:pt idx="556">
                  <c:v>-3.3905121290395579E-2</c:v>
                </c:pt>
                <c:pt idx="557">
                  <c:v>-4.4802207291149143E-3</c:v>
                </c:pt>
                <c:pt idx="558">
                  <c:v>2.8335703447549099E-2</c:v>
                </c:pt>
                <c:pt idx="559">
                  <c:v>-6.8887106482592442E-3</c:v>
                </c:pt>
                <c:pt idx="560">
                  <c:v>-1.9993512159347859E-2</c:v>
                </c:pt>
                <c:pt idx="561">
                  <c:v>4.1635441473408807E-3</c:v>
                </c:pt>
                <c:pt idx="562">
                  <c:v>5.1414132230338527E-3</c:v>
                </c:pt>
                <c:pt idx="563">
                  <c:v>1.4850260002066129E-3</c:v>
                </c:pt>
                <c:pt idx="564">
                  <c:v>-1.2274462577431922E-2</c:v>
                </c:pt>
                <c:pt idx="565">
                  <c:v>1.8765637718671568E-2</c:v>
                </c:pt>
                <c:pt idx="566">
                  <c:v>6.9586409012092343E-3</c:v>
                </c:pt>
                <c:pt idx="567">
                  <c:v>2.3577252032520368E-2</c:v>
                </c:pt>
                <c:pt idx="568">
                  <c:v>2.462247776612303E-3</c:v>
                </c:pt>
                <c:pt idx="569">
                  <c:v>1.3390404986850513E-2</c:v>
                </c:pt>
                <c:pt idx="570">
                  <c:v>1.9233768268432261E-2</c:v>
                </c:pt>
                <c:pt idx="571">
                  <c:v>2.0251603097179993E-2</c:v>
                </c:pt>
                <c:pt idx="572">
                  <c:v>-1.3233045112782005E-2</c:v>
                </c:pt>
                <c:pt idx="573">
                  <c:v>2.430652147567347E-2</c:v>
                </c:pt>
                <c:pt idx="574">
                  <c:v>-1.7853114074029564E-2</c:v>
                </c:pt>
                <c:pt idx="575">
                  <c:v>1.8707877139346074E-2</c:v>
                </c:pt>
                <c:pt idx="576">
                  <c:v>-2.5278513011153247E-3</c:v>
                </c:pt>
                <c:pt idx="577">
                  <c:v>5.0685150546061486E-3</c:v>
                </c:pt>
                <c:pt idx="578">
                  <c:v>-1.2829984064965383E-2</c:v>
                </c:pt>
                <c:pt idx="579">
                  <c:v>2.9299000606273218E-3</c:v>
                </c:pt>
                <c:pt idx="580">
                  <c:v>-1.1685378277153657E-2</c:v>
                </c:pt>
                <c:pt idx="581">
                  <c:v>1.8038539972130785E-2</c:v>
                </c:pt>
                <c:pt idx="582">
                  <c:v>2.9779182486193712E-3</c:v>
                </c:pt>
                <c:pt idx="583">
                  <c:v>-2.4495397680408537E-3</c:v>
                </c:pt>
                <c:pt idx="584">
                  <c:v>-6.0272118909679984E-3</c:v>
                </c:pt>
                <c:pt idx="585">
                  <c:v>-7.4865996782969013E-4</c:v>
                </c:pt>
                <c:pt idx="586">
                  <c:v>-1.5133271355507127E-2</c:v>
                </c:pt>
                <c:pt idx="587">
                  <c:v>8.2153198120551441E-3</c:v>
                </c:pt>
                <c:pt idx="588">
                  <c:v>-3.5385508131119403E-2</c:v>
                </c:pt>
                <c:pt idx="589">
                  <c:v>1.9554791076337175E-3</c:v>
                </c:pt>
                <c:pt idx="590">
                  <c:v>1.2802489642350201E-2</c:v>
                </c:pt>
                <c:pt idx="591">
                  <c:v>3.622645150969328E-3</c:v>
                </c:pt>
                <c:pt idx="592">
                  <c:v>-2.5804537434668817E-2</c:v>
                </c:pt>
                <c:pt idx="593">
                  <c:v>-7.4102799749353743E-3</c:v>
                </c:pt>
                <c:pt idx="594">
                  <c:v>-2.4938502900849646E-2</c:v>
                </c:pt>
                <c:pt idx="595">
                  <c:v>1.7919720239139458E-2</c:v>
                </c:pt>
                <c:pt idx="596">
                  <c:v>1.9844730576580538E-2</c:v>
                </c:pt>
                <c:pt idx="597">
                  <c:v>-9.2585329758775314E-3</c:v>
                </c:pt>
                <c:pt idx="598">
                  <c:v>-1.124573559623987E-2</c:v>
                </c:pt>
                <c:pt idx="599">
                  <c:v>-1.2815058274969759E-3</c:v>
                </c:pt>
                <c:pt idx="600">
                  <c:v>2.1012077616294977E-2</c:v>
                </c:pt>
                <c:pt idx="601">
                  <c:v>-1.4767088441867582E-2</c:v>
                </c:pt>
                <c:pt idx="602">
                  <c:v>1.3314183209758301E-2</c:v>
                </c:pt>
                <c:pt idx="603">
                  <c:v>-1.5735326762160717E-3</c:v>
                </c:pt>
                <c:pt idx="604">
                  <c:v>-3.9404254698116592E-4</c:v>
                </c:pt>
                <c:pt idx="605">
                  <c:v>-1.2376815331128332E-2</c:v>
                </c:pt>
                <c:pt idx="606">
                  <c:v>-5.348004512675697E-3</c:v>
                </c:pt>
                <c:pt idx="607">
                  <c:v>-2.6482786080709309E-3</c:v>
                </c:pt>
                <c:pt idx="608">
                  <c:v>6.2761426317681224E-3</c:v>
                </c:pt>
                <c:pt idx="609">
                  <c:v>-1.2154142206207252E-2</c:v>
                </c:pt>
                <c:pt idx="610">
                  <c:v>1.9022162708255186E-2</c:v>
                </c:pt>
                <c:pt idx="611">
                  <c:v>7.9458257839837287E-5</c:v>
                </c:pt>
                <c:pt idx="612">
                  <c:v>6.6719299972688439E-3</c:v>
                </c:pt>
                <c:pt idx="613">
                  <c:v>3.0771580097390672E-3</c:v>
                </c:pt>
                <c:pt idx="614">
                  <c:v>-8.0232519788386858E-3</c:v>
                </c:pt>
                <c:pt idx="615">
                  <c:v>9.8326618838104896E-3</c:v>
                </c:pt>
                <c:pt idx="616">
                  <c:v>2.4577919506524104E-2</c:v>
                </c:pt>
                <c:pt idx="617">
                  <c:v>-6.4377454456697736E-3</c:v>
                </c:pt>
                <c:pt idx="618">
                  <c:v>3.9339324586080693E-3</c:v>
                </c:pt>
                <c:pt idx="619">
                  <c:v>1.2600838076104903E-2</c:v>
                </c:pt>
                <c:pt idx="620">
                  <c:v>-1.00917070387887E-2</c:v>
                </c:pt>
                <c:pt idx="621">
                  <c:v>1.4103908487449468E-2</c:v>
                </c:pt>
                <c:pt idx="622">
                  <c:v>1.2698359500415091E-2</c:v>
                </c:pt>
                <c:pt idx="623">
                  <c:v>-2.0898567574222371E-3</c:v>
                </c:pt>
                <c:pt idx="624">
                  <c:v>-2.1689828459757754E-3</c:v>
                </c:pt>
                <c:pt idx="625">
                  <c:v>-2.2487294131253721E-3</c:v>
                </c:pt>
                <c:pt idx="626">
                  <c:v>1.2545999454992129E-2</c:v>
                </c:pt>
                <c:pt idx="627">
                  <c:v>1.1500244928774661E-2</c:v>
                </c:pt>
                <c:pt idx="628">
                  <c:v>4.6211764890899953E-3</c:v>
                </c:pt>
                <c:pt idx="629">
                  <c:v>2.2634125595510923E-3</c:v>
                </c:pt>
                <c:pt idx="630">
                  <c:v>1.9596437106536246E-2</c:v>
                </c:pt>
                <c:pt idx="631">
                  <c:v>1.4718468826598441E-2</c:v>
                </c:pt>
                <c:pt idx="632">
                  <c:v>1.7955238193064771E-2</c:v>
                </c:pt>
                <c:pt idx="633">
                  <c:v>-9.1997090378505009E-3</c:v>
                </c:pt>
                <c:pt idx="634">
                  <c:v>1.3054984185458585E-2</c:v>
                </c:pt>
                <c:pt idx="635">
                  <c:v>-4.2037143945716782E-3</c:v>
                </c:pt>
                <c:pt idx="636">
                  <c:v>7.8892664359859754E-3</c:v>
                </c:pt>
                <c:pt idx="637">
                  <c:v>2.410048766891304E-2</c:v>
                </c:pt>
                <c:pt idx="638">
                  <c:v>-4.4921087961961037E-3</c:v>
                </c:pt>
                <c:pt idx="639">
                  <c:v>-1.4075950002046089E-2</c:v>
                </c:pt>
                <c:pt idx="640">
                  <c:v>-2.6914420567760167E-2</c:v>
                </c:pt>
                <c:pt idx="641">
                  <c:v>2.5974005461018024E-2</c:v>
                </c:pt>
                <c:pt idx="642">
                  <c:v>-5.1317142031493956E-3</c:v>
                </c:pt>
                <c:pt idx="643">
                  <c:v>9.6286730245671581E-3</c:v>
                </c:pt>
                <c:pt idx="644">
                  <c:v>1.1989066512485103E-2</c:v>
                </c:pt>
                <c:pt idx="645">
                  <c:v>2.8945005774703159E-3</c:v>
                </c:pt>
                <c:pt idx="646">
                  <c:v>-1.4900335092947969E-2</c:v>
                </c:pt>
                <c:pt idx="647">
                  <c:v>-1.2196007026067823E-2</c:v>
                </c:pt>
                <c:pt idx="648">
                  <c:v>4.5523728666676533E-3</c:v>
                </c:pt>
                <c:pt idx="649">
                  <c:v>1.510587760990223E-3</c:v>
                </c:pt>
                <c:pt idx="650">
                  <c:v>-2.3309817473537997E-3</c:v>
                </c:pt>
                <c:pt idx="651">
                  <c:v>1.2644289097188288E-2</c:v>
                </c:pt>
                <c:pt idx="652">
                  <c:v>-2.7823289713468924E-3</c:v>
                </c:pt>
                <c:pt idx="653">
                  <c:v>7.4856075022577961E-4</c:v>
                </c:pt>
                <c:pt idx="654">
                  <c:v>-6.2559432375350887E-3</c:v>
                </c:pt>
                <c:pt idx="655">
                  <c:v>-3.4215820680261189E-4</c:v>
                </c:pt>
                <c:pt idx="656">
                  <c:v>-3.3540284305298984E-3</c:v>
                </c:pt>
                <c:pt idx="657">
                  <c:v>1.7856798714692701E-3</c:v>
                </c:pt>
                <c:pt idx="658">
                  <c:v>2.0773330448557781E-2</c:v>
                </c:pt>
                <c:pt idx="659">
                  <c:v>1.410484259591005E-3</c:v>
                </c:pt>
                <c:pt idx="660">
                  <c:v>1.354788007184915E-2</c:v>
                </c:pt>
                <c:pt idx="661">
                  <c:v>-6.1540036445871804E-3</c:v>
                </c:pt>
                <c:pt idx="662">
                  <c:v>-2.5501038344749372E-2</c:v>
                </c:pt>
                <c:pt idx="663">
                  <c:v>2.3230117359727132E-3</c:v>
                </c:pt>
                <c:pt idx="664">
                  <c:v>1.015681684028924E-2</c:v>
                </c:pt>
                <c:pt idx="665">
                  <c:v>1.0257135970616948E-2</c:v>
                </c:pt>
                <c:pt idx="666">
                  <c:v>-6.0124237386482982E-4</c:v>
                </c:pt>
                <c:pt idx="667">
                  <c:v>-8.4212942260823986E-3</c:v>
                </c:pt>
                <c:pt idx="668">
                  <c:v>-5.5271501379944299E-3</c:v>
                </c:pt>
                <c:pt idx="669">
                  <c:v>7.1845807936292694E-3</c:v>
                </c:pt>
                <c:pt idx="670">
                  <c:v>3.0417152203883413E-2</c:v>
                </c:pt>
                <c:pt idx="671">
                  <c:v>-8.4247194496054334E-3</c:v>
                </c:pt>
                <c:pt idx="672">
                  <c:v>4.4786471121827098E-3</c:v>
                </c:pt>
                <c:pt idx="673">
                  <c:v>7.4749133655140909E-3</c:v>
                </c:pt>
                <c:pt idx="674">
                  <c:v>4.2304524919150044E-3</c:v>
                </c:pt>
                <c:pt idx="675">
                  <c:v>1.5489299763655762E-2</c:v>
                </c:pt>
                <c:pt idx="676">
                  <c:v>-1.0083610822852473E-2</c:v>
                </c:pt>
                <c:pt idx="677">
                  <c:v>-6.7048803642262289E-3</c:v>
                </c:pt>
                <c:pt idx="678">
                  <c:v>-3.3101874266806552E-2</c:v>
                </c:pt>
                <c:pt idx="679">
                  <c:v>3.8934147553641996E-3</c:v>
                </c:pt>
                <c:pt idx="680">
                  <c:v>-9.5620726935058409E-3</c:v>
                </c:pt>
                <c:pt idx="681">
                  <c:v>6.1436945093065187E-3</c:v>
                </c:pt>
                <c:pt idx="682">
                  <c:v>-1.6104542817583223E-3</c:v>
                </c:pt>
                <c:pt idx="683">
                  <c:v>-1.8347974517345378E-2</c:v>
                </c:pt>
                <c:pt idx="684">
                  <c:v>-2.1361057392319083E-2</c:v>
                </c:pt>
                <c:pt idx="685">
                  <c:v>3.4279487417385734E-3</c:v>
                </c:pt>
                <c:pt idx="686">
                  <c:v>1.6872433368939843E-2</c:v>
                </c:pt>
                <c:pt idx="687">
                  <c:v>6.7192043859085615E-3</c:v>
                </c:pt>
                <c:pt idx="688">
                  <c:v>6.1292650530631043E-4</c:v>
                </c:pt>
                <c:pt idx="689">
                  <c:v>-1.0549979724339575E-2</c:v>
                </c:pt>
                <c:pt idx="690">
                  <c:v>-2.3801273433351922E-2</c:v>
                </c:pt>
                <c:pt idx="691">
                  <c:v>6.4829678956250802E-3</c:v>
                </c:pt>
                <c:pt idx="692">
                  <c:v>-9.3117831084257308E-3</c:v>
                </c:pt>
                <c:pt idx="693">
                  <c:v>8.1271660777384458E-3</c:v>
                </c:pt>
                <c:pt idx="694">
                  <c:v>-2.4605644217552514E-2</c:v>
                </c:pt>
                <c:pt idx="695">
                  <c:v>1.4158416085657821E-2</c:v>
                </c:pt>
                <c:pt idx="696">
                  <c:v>6.3071291452969636E-3</c:v>
                </c:pt>
                <c:pt idx="697">
                  <c:v>9.0844577464790355E-3</c:v>
                </c:pt>
                <c:pt idx="698">
                  <c:v>-2.7217462422516325E-3</c:v>
                </c:pt>
                <c:pt idx="699">
                  <c:v>-6.2978309152328382E-4</c:v>
                </c:pt>
                <c:pt idx="700">
                  <c:v>-9.1030251257339101E-3</c:v>
                </c:pt>
                <c:pt idx="701">
                  <c:v>-4.2399195901322573E-3</c:v>
                </c:pt>
                <c:pt idx="702">
                  <c:v>2.022561151868274E-2</c:v>
                </c:pt>
                <c:pt idx="703">
                  <c:v>7.5125280854386745E-3</c:v>
                </c:pt>
                <c:pt idx="704">
                  <c:v>1.1806179558303764E-2</c:v>
                </c:pt>
                <c:pt idx="705">
                  <c:v>1.5080122516271777E-2</c:v>
                </c:pt>
                <c:pt idx="706">
                  <c:v>3.3611186932347437E-3</c:v>
                </c:pt>
                <c:pt idx="707">
                  <c:v>1.4739448436937863E-3</c:v>
                </c:pt>
                <c:pt idx="708">
                  <c:v>-5.2849479605284744E-3</c:v>
                </c:pt>
                <c:pt idx="709">
                  <c:v>-3.3629026382020477E-4</c:v>
                </c:pt>
                <c:pt idx="710">
                  <c:v>4.5748654774950825E-3</c:v>
                </c:pt>
                <c:pt idx="711">
                  <c:v>-3.147609013974928E-3</c:v>
                </c:pt>
                <c:pt idx="712">
                  <c:v>2.4991607994963694E-2</c:v>
                </c:pt>
                <c:pt idx="713">
                  <c:v>-1.8155626092355104E-2</c:v>
                </c:pt>
                <c:pt idx="714">
                  <c:v>-5.6074498209457424E-3</c:v>
                </c:pt>
                <c:pt idx="715">
                  <c:v>7.1159838224228444E-3</c:v>
                </c:pt>
                <c:pt idx="716">
                  <c:v>9.7986999120462936E-3</c:v>
                </c:pt>
                <c:pt idx="717">
                  <c:v>-3.4985674467434835E-3</c:v>
                </c:pt>
                <c:pt idx="718">
                  <c:v>2.1197137331876448E-3</c:v>
                </c:pt>
                <c:pt idx="719">
                  <c:v>-5.552597868539233E-3</c:v>
                </c:pt>
                <c:pt idx="720">
                  <c:v>2.4594256519621105E-3</c:v>
                </c:pt>
                <c:pt idx="721">
                  <c:v>-1.9163185719291764E-2</c:v>
                </c:pt>
                <c:pt idx="722">
                  <c:v>-3.380408374532573E-4</c:v>
                </c:pt>
                <c:pt idx="723">
                  <c:v>1.4336985674477054E-2</c:v>
                </c:pt>
                <c:pt idx="724">
                  <c:v>6.6637773630251473E-5</c:v>
                </c:pt>
                <c:pt idx="725">
                  <c:v>6.6666666666665986E-3</c:v>
                </c:pt>
                <c:pt idx="726">
                  <c:v>1.6490099337748365E-2</c:v>
                </c:pt>
                <c:pt idx="727">
                  <c:v>2.8535994900775519E-2</c:v>
                </c:pt>
                <c:pt idx="728">
                  <c:v>1.6976044117819944E-2</c:v>
                </c:pt>
                <c:pt idx="729">
                  <c:v>2.9274431094217235E-3</c:v>
                </c:pt>
                <c:pt idx="730">
                  <c:v>2.4220593113386535E-3</c:v>
                </c:pt>
                <c:pt idx="731">
                  <c:v>3.2835511236342096E-3</c:v>
                </c:pt>
                <c:pt idx="732">
                  <c:v>-3.1678423716457571E-2</c:v>
                </c:pt>
                <c:pt idx="733">
                  <c:v>2.1873649918674021E-2</c:v>
                </c:pt>
                <c:pt idx="734">
                  <c:v>3.1577620083074853E-2</c:v>
                </c:pt>
                <c:pt idx="735">
                  <c:v>-3.2062854832495269E-3</c:v>
                </c:pt>
                <c:pt idx="736">
                  <c:v>-6.129811103239402E-3</c:v>
                </c:pt>
                <c:pt idx="737">
                  <c:v>-1.1724469092710854E-2</c:v>
                </c:pt>
                <c:pt idx="738">
                  <c:v>2.1502787234374265E-2</c:v>
                </c:pt>
                <c:pt idx="739">
                  <c:v>3.544632078318255E-2</c:v>
                </c:pt>
                <c:pt idx="740">
                  <c:v>2.2783088909227978E-2</c:v>
                </c:pt>
                <c:pt idx="741">
                  <c:v>-2.9700936375360865E-3</c:v>
                </c:pt>
                <c:pt idx="742">
                  <c:v>2.8013285151389455E-2</c:v>
                </c:pt>
                <c:pt idx="743">
                  <c:v>-2.0674238294916214E-2</c:v>
                </c:pt>
                <c:pt idx="744">
                  <c:v>-8.0232329571174876E-3</c:v>
                </c:pt>
                <c:pt idx="745">
                  <c:v>2.8509154723694641E-2</c:v>
                </c:pt>
                <c:pt idx="746">
                  <c:v>-3.9263847641988092E-2</c:v>
                </c:pt>
                <c:pt idx="747">
                  <c:v>-6.5017765732549027E-3</c:v>
                </c:pt>
                <c:pt idx="748">
                  <c:v>-8.1219995800045908E-3</c:v>
                </c:pt>
                <c:pt idx="749">
                  <c:v>1.9086921944035273E-2</c:v>
                </c:pt>
                <c:pt idx="750">
                  <c:v>1.5318769428326107E-2</c:v>
                </c:pt>
                <c:pt idx="751">
                  <c:v>3.643816918946996E-3</c:v>
                </c:pt>
                <c:pt idx="752">
                  <c:v>2.2974829946532882E-2</c:v>
                </c:pt>
                <c:pt idx="753">
                  <c:v>-5.7672544139383275E-3</c:v>
                </c:pt>
                <c:pt idx="754">
                  <c:v>5.0204698262223957E-4</c:v>
                </c:pt>
                <c:pt idx="755">
                  <c:v>-6.5782582623967745E-3</c:v>
                </c:pt>
                <c:pt idx="756">
                  <c:v>-3.5352974781475144E-3</c:v>
                </c:pt>
                <c:pt idx="757">
                  <c:v>2.5004155121759908E-2</c:v>
                </c:pt>
                <c:pt idx="758">
                  <c:v>-1.2691599711323609E-2</c:v>
                </c:pt>
                <c:pt idx="759">
                  <c:v>-2.6599883582635764E-2</c:v>
                </c:pt>
                <c:pt idx="760">
                  <c:v>-1.6693334286454697E-2</c:v>
                </c:pt>
                <c:pt idx="761">
                  <c:v>9.8836046511618925E-4</c:v>
                </c:pt>
                <c:pt idx="762">
                  <c:v>1.1618749045938515E-4</c:v>
                </c:pt>
                <c:pt idx="763">
                  <c:v>1.6783785158443809E-2</c:v>
                </c:pt>
                <c:pt idx="764">
                  <c:v>2.5702364339703632E-3</c:v>
                </c:pt>
                <c:pt idx="765">
                  <c:v>-1.9028069384310786E-2</c:v>
                </c:pt>
                <c:pt idx="766">
                  <c:v>5.1106625807462169E-3</c:v>
                </c:pt>
                <c:pt idx="767">
                  <c:v>-1.8894111444740402E-2</c:v>
                </c:pt>
                <c:pt idx="768">
                  <c:v>-2.1024775835840281E-2</c:v>
                </c:pt>
                <c:pt idx="769">
                  <c:v>-1.034711569144231E-2</c:v>
                </c:pt>
                <c:pt idx="770">
                  <c:v>-1.2765127127990161E-2</c:v>
                </c:pt>
                <c:pt idx="771">
                  <c:v>-4.8642877935031192E-3</c:v>
                </c:pt>
                <c:pt idx="772">
                  <c:v>-1.1384705215465307E-2</c:v>
                </c:pt>
                <c:pt idx="773">
                  <c:v>-5.6325573014937014E-4</c:v>
                </c:pt>
                <c:pt idx="774">
                  <c:v>-2.9432086800273982E-3</c:v>
                </c:pt>
                <c:pt idx="775">
                  <c:v>6.9777671964717625E-2</c:v>
                </c:pt>
                <c:pt idx="776">
                  <c:v>2.6125737965998486E-2</c:v>
                </c:pt>
                <c:pt idx="777">
                  <c:v>-9.7263989571250153E-4</c:v>
                </c:pt>
                <c:pt idx="778">
                  <c:v>7.0442414120368557E-3</c:v>
                </c:pt>
                <c:pt idx="779">
                  <c:v>-1.6719756977246591E-2</c:v>
                </c:pt>
                <c:pt idx="780">
                  <c:v>-2.9496530809596244E-3</c:v>
                </c:pt>
                <c:pt idx="781">
                  <c:v>-4.2345553932047197E-3</c:v>
                </c:pt>
                <c:pt idx="782">
                  <c:v>1.8466724491047026E-2</c:v>
                </c:pt>
                <c:pt idx="783">
                  <c:v>8.2937538375136288E-3</c:v>
                </c:pt>
                <c:pt idx="784">
                  <c:v>-2.3598842884041571E-2</c:v>
                </c:pt>
                <c:pt idx="785">
                  <c:v>-2.0218429590356468E-2</c:v>
                </c:pt>
                <c:pt idx="786">
                  <c:v>1.4231854923103526E-3</c:v>
                </c:pt>
                <c:pt idx="787">
                  <c:v>2.3152462602070711E-2</c:v>
                </c:pt>
                <c:pt idx="788">
                  <c:v>-1.3889114516024703E-3</c:v>
                </c:pt>
                <c:pt idx="789">
                  <c:v>-2.1269185373471111E-2</c:v>
                </c:pt>
                <c:pt idx="790">
                  <c:v>-9.355767131816517E-3</c:v>
                </c:pt>
                <c:pt idx="791">
                  <c:v>-1.7812288981250091E-2</c:v>
                </c:pt>
                <c:pt idx="792">
                  <c:v>-2.5864166376283082E-2</c:v>
                </c:pt>
                <c:pt idx="793">
                  <c:v>1.6680189187472161E-2</c:v>
                </c:pt>
                <c:pt idx="794">
                  <c:v>1.2965472134525369E-2</c:v>
                </c:pt>
                <c:pt idx="795">
                  <c:v>1.6377858063285622E-3</c:v>
                </c:pt>
                <c:pt idx="796">
                  <c:v>-1.1627895216445472E-2</c:v>
                </c:pt>
                <c:pt idx="797">
                  <c:v>2.0588241800028939E-2</c:v>
                </c:pt>
                <c:pt idx="798">
                  <c:v>-1.9812800430029087E-3</c:v>
                </c:pt>
                <c:pt idx="799">
                  <c:v>-1.8408217972886276E-2</c:v>
                </c:pt>
                <c:pt idx="800">
                  <c:v>-2.3717564793988566E-2</c:v>
                </c:pt>
                <c:pt idx="801">
                  <c:v>-1.1676088920098859E-2</c:v>
                </c:pt>
                <c:pt idx="802">
                  <c:v>3.4997427146882254E-2</c:v>
                </c:pt>
                <c:pt idx="803">
                  <c:v>-2.718621099452978E-2</c:v>
                </c:pt>
                <c:pt idx="804">
                  <c:v>-2.3908704922818491E-2</c:v>
                </c:pt>
                <c:pt idx="805">
                  <c:v>-2.6562406167192076E-2</c:v>
                </c:pt>
                <c:pt idx="806">
                  <c:v>2.9677341311822758E-2</c:v>
                </c:pt>
                <c:pt idx="807">
                  <c:v>2.901541115521078E-2</c:v>
                </c:pt>
                <c:pt idx="808">
                  <c:v>6.4540323692969803E-3</c:v>
                </c:pt>
                <c:pt idx="809">
                  <c:v>2.0918945988013471E-2</c:v>
                </c:pt>
                <c:pt idx="810">
                  <c:v>8.5376816328255334E-3</c:v>
                </c:pt>
                <c:pt idx="811">
                  <c:v>2.0800591945803859E-2</c:v>
                </c:pt>
                <c:pt idx="812">
                  <c:v>8.2336212674127829E-3</c:v>
                </c:pt>
                <c:pt idx="813">
                  <c:v>2.2677867582721056E-2</c:v>
                </c:pt>
                <c:pt idx="814">
                  <c:v>3.7340953286684186E-3</c:v>
                </c:pt>
                <c:pt idx="815">
                  <c:v>5.0366586250192302E-3</c:v>
                </c:pt>
                <c:pt idx="816">
                  <c:v>1.9134401396318834E-2</c:v>
                </c:pt>
                <c:pt idx="817">
                  <c:v>-6.6495471247941529E-3</c:v>
                </c:pt>
                <c:pt idx="818">
                  <c:v>-1.777579416603936E-2</c:v>
                </c:pt>
                <c:pt idx="819">
                  <c:v>-1.7181318268247869E-3</c:v>
                </c:pt>
                <c:pt idx="820">
                  <c:v>2.3693442988852453E-2</c:v>
                </c:pt>
                <c:pt idx="821">
                  <c:v>-1.8941963472966061E-2</c:v>
                </c:pt>
                <c:pt idx="822">
                  <c:v>-1.8450794224275091E-2</c:v>
                </c:pt>
                <c:pt idx="823">
                  <c:v>1.8040912319838842E-3</c:v>
                </c:pt>
                <c:pt idx="824">
                  <c:v>-1.1908928848082367E-2</c:v>
                </c:pt>
                <c:pt idx="825">
                  <c:v>-2.5515880428382265E-2</c:v>
                </c:pt>
                <c:pt idx="826">
                  <c:v>1.1523402714932018E-2</c:v>
                </c:pt>
                <c:pt idx="827">
                  <c:v>1.6342538080817537E-2</c:v>
                </c:pt>
                <c:pt idx="828">
                  <c:v>-2.9988269835267589E-2</c:v>
                </c:pt>
                <c:pt idx="829">
                  <c:v>-1.3309093672718708E-3</c:v>
                </c:pt>
                <c:pt idx="830">
                  <c:v>1.4115144491391396E-2</c:v>
                </c:pt>
                <c:pt idx="831">
                  <c:v>-1.0155197496601875E-3</c:v>
                </c:pt>
                <c:pt idx="832">
                  <c:v>-4.8436166918284229E-3</c:v>
                </c:pt>
                <c:pt idx="833">
                  <c:v>-2.7821205718317477E-2</c:v>
                </c:pt>
                <c:pt idx="834">
                  <c:v>6.7372028380023874E-3</c:v>
                </c:pt>
                <c:pt idx="835">
                  <c:v>-3.7328105435655012E-2</c:v>
                </c:pt>
                <c:pt idx="836">
                  <c:v>-1.4668111964257768E-3</c:v>
                </c:pt>
                <c:pt idx="837">
                  <c:v>4.515546837779727E-2</c:v>
                </c:pt>
                <c:pt idx="838">
                  <c:v>-3.6604772895409199E-2</c:v>
                </c:pt>
                <c:pt idx="839">
                  <c:v>1.9664637602205826E-3</c:v>
                </c:pt>
                <c:pt idx="840">
                  <c:v>9.6226192241180009E-3</c:v>
                </c:pt>
                <c:pt idx="841">
                  <c:v>4.1008328091505675E-2</c:v>
                </c:pt>
                <c:pt idx="842">
                  <c:v>-5.5716177431245018E-2</c:v>
                </c:pt>
                <c:pt idx="843">
                  <c:v>3.2531414619343391E-3</c:v>
                </c:pt>
                <c:pt idx="844">
                  <c:v>-3.3189223252728994E-2</c:v>
                </c:pt>
                <c:pt idx="845">
                  <c:v>1.6112041511403996E-2</c:v>
                </c:pt>
                <c:pt idx="846">
                  <c:v>-5.1841274087155331E-2</c:v>
                </c:pt>
                <c:pt idx="847">
                  <c:v>-2.6894211604095553E-2</c:v>
                </c:pt>
                <c:pt idx="848">
                  <c:v>3.1916407574584804E-2</c:v>
                </c:pt>
                <c:pt idx="849">
                  <c:v>-1.0672340352985255E-2</c:v>
                </c:pt>
                <c:pt idx="850">
                  <c:v>2.5422647917813013E-2</c:v>
                </c:pt>
                <c:pt idx="851">
                  <c:v>-5.64191752740828E-2</c:v>
                </c:pt>
                <c:pt idx="852">
                  <c:v>-2.4641392043106447E-2</c:v>
                </c:pt>
                <c:pt idx="853">
                  <c:v>1.747287874162895E-3</c:v>
                </c:pt>
                <c:pt idx="854">
                  <c:v>4.0119232215109601E-2</c:v>
                </c:pt>
                <c:pt idx="855">
                  <c:v>-1.9215987567493653E-2</c:v>
                </c:pt>
                <c:pt idx="856">
                  <c:v>1.1399472703053082E-3</c:v>
                </c:pt>
                <c:pt idx="857">
                  <c:v>2.3199508306305017E-2</c:v>
                </c:pt>
                <c:pt idx="858">
                  <c:v>4.0756711926253297E-2</c:v>
                </c:pt>
                <c:pt idx="859">
                  <c:v>-5.3461842110810176E-3</c:v>
                </c:pt>
                <c:pt idx="860">
                  <c:v>-8.7334724196053148E-4</c:v>
                </c:pt>
                <c:pt idx="861">
                  <c:v>1.6811242568228746E-2</c:v>
                </c:pt>
                <c:pt idx="862">
                  <c:v>-3.855566252304965E-2</c:v>
                </c:pt>
                <c:pt idx="863">
                  <c:v>5.2276377346387459E-3</c:v>
                </c:pt>
                <c:pt idx="864">
                  <c:v>1.7585931419090928E-2</c:v>
                </c:pt>
                <c:pt idx="865">
                  <c:v>-5.0433727704686238E-3</c:v>
                </c:pt>
                <c:pt idx="866">
                  <c:v>-3.5955716060489196E-2</c:v>
                </c:pt>
                <c:pt idx="867">
                  <c:v>-3.8628673854659623E-2</c:v>
                </c:pt>
                <c:pt idx="868">
                  <c:v>-3.8284837807743055E-2</c:v>
                </c:pt>
                <c:pt idx="869">
                  <c:v>6.6726567078914112E-3</c:v>
                </c:pt>
                <c:pt idx="870">
                  <c:v>2.0111465053911592E-2</c:v>
                </c:pt>
                <c:pt idx="871">
                  <c:v>-3.9651445599646395E-2</c:v>
                </c:pt>
                <c:pt idx="872">
                  <c:v>1.1533138728788916E-2</c:v>
                </c:pt>
                <c:pt idx="873">
                  <c:v>3.2760695238076787E-2</c:v>
                </c:pt>
                <c:pt idx="874">
                  <c:v>-3.8271069340951591E-3</c:v>
                </c:pt>
                <c:pt idx="875">
                  <c:v>2.1573682087609125E-2</c:v>
                </c:pt>
                <c:pt idx="876">
                  <c:v>2.4517248151666893E-2</c:v>
                </c:pt>
                <c:pt idx="877">
                  <c:v>0</c:v>
                </c:pt>
                <c:pt idx="878">
                  <c:v>-2.9789650436548021E-2</c:v>
                </c:pt>
                <c:pt idx="879">
                  <c:v>1.3023821114321654E-2</c:v>
                </c:pt>
                <c:pt idx="880">
                  <c:v>-1.8027688516201623E-2</c:v>
                </c:pt>
                <c:pt idx="881">
                  <c:v>1.6164365007574899E-2</c:v>
                </c:pt>
                <c:pt idx="882">
                  <c:v>1.8930433545764291E-2</c:v>
                </c:pt>
                <c:pt idx="883">
                  <c:v>9.6072338175645644E-3</c:v>
                </c:pt>
                <c:pt idx="884">
                  <c:v>2.399949655750766E-2</c:v>
                </c:pt>
                <c:pt idx="885">
                  <c:v>4.7146359529359749E-3</c:v>
                </c:pt>
                <c:pt idx="886">
                  <c:v>-1.4757876110617185E-2</c:v>
                </c:pt>
                <c:pt idx="887">
                  <c:v>6.8337546363552715E-3</c:v>
                </c:pt>
                <c:pt idx="888">
                  <c:v>-2.5366515663195477E-3</c:v>
                </c:pt>
                <c:pt idx="889">
                  <c:v>2.0482479191611835E-2</c:v>
                </c:pt>
                <c:pt idx="890">
                  <c:v>1.1450104321074184E-2</c:v>
                </c:pt>
                <c:pt idx="891">
                  <c:v>-2.0643211302433295E-2</c:v>
                </c:pt>
                <c:pt idx="892">
                  <c:v>2.6721920262096743E-2</c:v>
                </c:pt>
                <c:pt idx="893">
                  <c:v>1.3509887417218591E-2</c:v>
                </c:pt>
                <c:pt idx="894">
                  <c:v>1.5094178683084492E-2</c:v>
                </c:pt>
                <c:pt idx="895">
                  <c:v>-8.1107817916659108E-3</c:v>
                </c:pt>
                <c:pt idx="896">
                  <c:v>-7.398267438465056E-3</c:v>
                </c:pt>
                <c:pt idx="897">
                  <c:v>-8.8263551911019755E-3</c:v>
                </c:pt>
                <c:pt idx="898">
                  <c:v>3.4234741389126411E-2</c:v>
                </c:pt>
                <c:pt idx="899">
                  <c:v>3.5717394285488258E-3</c:v>
                </c:pt>
                <c:pt idx="900">
                  <c:v>3.2793065162005641E-2</c:v>
                </c:pt>
                <c:pt idx="901">
                  <c:v>-6.153467668250201E-3</c:v>
                </c:pt>
                <c:pt idx="902">
                  <c:v>-9.2873509159603351E-3</c:v>
                </c:pt>
                <c:pt idx="903">
                  <c:v>3.8247673215663802E-2</c:v>
                </c:pt>
                <c:pt idx="904">
                  <c:v>-1.9262444493395314E-3</c:v>
                </c:pt>
                <c:pt idx="905">
                  <c:v>-2.7742114802993267E-3</c:v>
                </c:pt>
                <c:pt idx="906">
                  <c:v>-2.9029995922710272E-3</c:v>
                </c:pt>
                <c:pt idx="907">
                  <c:v>3.0328744778573835E-4</c:v>
                </c:pt>
                <c:pt idx="908">
                  <c:v>2.6194561316936316E-2</c:v>
                </c:pt>
                <c:pt idx="909">
                  <c:v>-4.4315763285400767E-3</c:v>
                </c:pt>
                <c:pt idx="910">
                  <c:v>2.1425609192664119E-2</c:v>
                </c:pt>
                <c:pt idx="911">
                  <c:v>6.3335035560661002E-3</c:v>
                </c:pt>
                <c:pt idx="912">
                  <c:v>-9.2385817975793039E-4</c:v>
                </c:pt>
                <c:pt idx="913">
                  <c:v>8.7846269940741184E-3</c:v>
                </c:pt>
                <c:pt idx="914">
                  <c:v>-2.2916585111717458E-3</c:v>
                </c:pt>
                <c:pt idx="915">
                  <c:v>-1.5101866727598057E-2</c:v>
                </c:pt>
                <c:pt idx="916">
                  <c:v>-2.3029366300621135E-2</c:v>
                </c:pt>
                <c:pt idx="917">
                  <c:v>-2.0290683642449903E-3</c:v>
                </c:pt>
                <c:pt idx="918">
                  <c:v>1.7939544769229876E-3</c:v>
                </c:pt>
                <c:pt idx="919">
                  <c:v>1.4922700500941355E-2</c:v>
                </c:pt>
                <c:pt idx="920">
                  <c:v>-3.7699253294708357E-2</c:v>
                </c:pt>
                <c:pt idx="921">
                  <c:v>-1.3690197215810773E-2</c:v>
                </c:pt>
                <c:pt idx="922">
                  <c:v>-1.5305495869826102E-2</c:v>
                </c:pt>
                <c:pt idx="923">
                  <c:v>-1.0634969211881673E-2</c:v>
                </c:pt>
                <c:pt idx="924">
                  <c:v>4.7068184409946312E-3</c:v>
                </c:pt>
                <c:pt idx="925">
                  <c:v>-1.3611097143088724E-2</c:v>
                </c:pt>
                <c:pt idx="926">
                  <c:v>-8.2151275042054994E-3</c:v>
                </c:pt>
                <c:pt idx="927">
                  <c:v>9.2539183928939117E-3</c:v>
                </c:pt>
                <c:pt idx="928">
                  <c:v>-9.6178502992757542E-3</c:v>
                </c:pt>
                <c:pt idx="929">
                  <c:v>1.8839750538144129E-2</c:v>
                </c:pt>
                <c:pt idx="930">
                  <c:v>3.8507963350955299E-2</c:v>
                </c:pt>
                <c:pt idx="931">
                  <c:v>-5.8679541153746406E-2</c:v>
                </c:pt>
                <c:pt idx="932">
                  <c:v>9.5553954642588756E-3</c:v>
                </c:pt>
                <c:pt idx="933">
                  <c:v>-1.8929901731117305E-2</c:v>
                </c:pt>
                <c:pt idx="934">
                  <c:v>-1.0960149995410839E-2</c:v>
                </c:pt>
                <c:pt idx="935">
                  <c:v>2.5082940114458108E-2</c:v>
                </c:pt>
                <c:pt idx="936">
                  <c:v>1.566544577072615E-2</c:v>
                </c:pt>
                <c:pt idx="937">
                  <c:v>-2.0267642585123369E-2</c:v>
                </c:pt>
                <c:pt idx="938">
                  <c:v>-6.3752016238928233E-3</c:v>
                </c:pt>
                <c:pt idx="939">
                  <c:v>-1.5123817758157077E-2</c:v>
                </c:pt>
                <c:pt idx="940">
                  <c:v>2.2602606914965406E-3</c:v>
                </c:pt>
                <c:pt idx="941">
                  <c:v>6.5662331613389746E-3</c:v>
                </c:pt>
                <c:pt idx="942">
                  <c:v>-1.2651548914455302E-2</c:v>
                </c:pt>
                <c:pt idx="943">
                  <c:v>-4.9119061642260098E-2</c:v>
                </c:pt>
                <c:pt idx="944">
                  <c:v>-3.0039297586729297E-2</c:v>
                </c:pt>
                <c:pt idx="945">
                  <c:v>3.0752533229071011E-2</c:v>
                </c:pt>
                <c:pt idx="946">
                  <c:v>2.5623089342711625E-2</c:v>
                </c:pt>
                <c:pt idx="947">
                  <c:v>2.0533058705007878E-3</c:v>
                </c:pt>
                <c:pt idx="948">
                  <c:v>-6.6256901622550046E-3</c:v>
                </c:pt>
                <c:pt idx="949">
                  <c:v>-3.6718677418900669E-2</c:v>
                </c:pt>
                <c:pt idx="950">
                  <c:v>2.3556428683171315E-3</c:v>
                </c:pt>
                <c:pt idx="951">
                  <c:v>-1.0254963826448638E-2</c:v>
                </c:pt>
                <c:pt idx="952">
                  <c:v>-4.604979266224607E-3</c:v>
                </c:pt>
                <c:pt idx="953">
                  <c:v>3.3612903964519214E-2</c:v>
                </c:pt>
                <c:pt idx="954">
                  <c:v>-3.2240015657038268E-2</c:v>
                </c:pt>
                <c:pt idx="955">
                  <c:v>2.9122697314543311E-2</c:v>
                </c:pt>
                <c:pt idx="956">
                  <c:v>9.409423231250047E-3</c:v>
                </c:pt>
                <c:pt idx="957">
                  <c:v>7.6522434782622106E-4</c:v>
                </c:pt>
                <c:pt idx="958">
                  <c:v>-3.2670790819750994E-3</c:v>
                </c:pt>
                <c:pt idx="959">
                  <c:v>2.7059104728775374E-2</c:v>
                </c:pt>
                <c:pt idx="960">
                  <c:v>1.4802695326877169E-2</c:v>
                </c:pt>
                <c:pt idx="961">
                  <c:v>1.9337564790985029E-2</c:v>
                </c:pt>
                <c:pt idx="962">
                  <c:v>-1.9627084669215811E-2</c:v>
                </c:pt>
                <c:pt idx="963">
                  <c:v>-3.0465368712472629E-2</c:v>
                </c:pt>
                <c:pt idx="964">
                  <c:v>7.5552498434685811E-2</c:v>
                </c:pt>
                <c:pt idx="965">
                  <c:v>-1.5410356510518808E-2</c:v>
                </c:pt>
                <c:pt idx="966">
                  <c:v>-1.7542729034635052E-2</c:v>
                </c:pt>
                <c:pt idx="967">
                  <c:v>-3.7304979912577974E-2</c:v>
                </c:pt>
                <c:pt idx="968">
                  <c:v>-4.240497857274339E-2</c:v>
                </c:pt>
                <c:pt idx="969">
                  <c:v>-3.6002302851300128E-3</c:v>
                </c:pt>
                <c:pt idx="970">
                  <c:v>3.9022472936027786E-3</c:v>
                </c:pt>
                <c:pt idx="971">
                  <c:v>4.1750792423709271E-3</c:v>
                </c:pt>
                <c:pt idx="972">
                  <c:v>-3.3190000000000053E-2</c:v>
                </c:pt>
                <c:pt idx="973">
                  <c:v>8.8974571401148284E-2</c:v>
                </c:pt>
                <c:pt idx="974">
                  <c:v>1.9268755336990351E-2</c:v>
                </c:pt>
                <c:pt idx="975">
                  <c:v>-9.4856247725909615E-3</c:v>
                </c:pt>
                <c:pt idx="976">
                  <c:v>1.1869395817840633E-2</c:v>
                </c:pt>
                <c:pt idx="977">
                  <c:v>-8.3311120922272552E-3</c:v>
                </c:pt>
                <c:pt idx="978">
                  <c:v>1.2971356212107432E-2</c:v>
                </c:pt>
                <c:pt idx="979">
                  <c:v>3.7817940301103636E-3</c:v>
                </c:pt>
                <c:pt idx="980">
                  <c:v>-2.1680204585639795E-2</c:v>
                </c:pt>
                <c:pt idx="981">
                  <c:v>1.4661158525138829E-2</c:v>
                </c:pt>
                <c:pt idx="982">
                  <c:v>5.9263153647903799E-3</c:v>
                </c:pt>
                <c:pt idx="983">
                  <c:v>-1.9593604705399836E-2</c:v>
                </c:pt>
                <c:pt idx="984">
                  <c:v>-2.6264262870405508E-2</c:v>
                </c:pt>
                <c:pt idx="985">
                  <c:v>-2.114826639059586E-2</c:v>
                </c:pt>
                <c:pt idx="986">
                  <c:v>4.8593901658906313E-2</c:v>
                </c:pt>
                <c:pt idx="987">
                  <c:v>1.8915017354015351E-3</c:v>
                </c:pt>
                <c:pt idx="988">
                  <c:v>-3.3713168818193529E-3</c:v>
                </c:pt>
                <c:pt idx="989">
                  <c:v>-7.9831744534628601E-3</c:v>
                </c:pt>
                <c:pt idx="990">
                  <c:v>-2.5369984813135793E-2</c:v>
                </c:pt>
                <c:pt idx="991">
                  <c:v>-1.3784913196139836E-2</c:v>
                </c:pt>
                <c:pt idx="992">
                  <c:v>1.2132765543738211E-2</c:v>
                </c:pt>
                <c:pt idx="993">
                  <c:v>-3.434910764875343E-3</c:v>
                </c:pt>
                <c:pt idx="994">
                  <c:v>1.6389989690771323E-2</c:v>
                </c:pt>
                <c:pt idx="995">
                  <c:v>6.7824483776577349E-3</c:v>
                </c:pt>
                <c:pt idx="996">
                  <c:v>-1.5535807963595216E-2</c:v>
                </c:pt>
                <c:pt idx="997">
                  <c:v>-4.6854316542279006E-2</c:v>
                </c:pt>
                <c:pt idx="998">
                  <c:v>-1.4578791208791131E-2</c:v>
                </c:pt>
                <c:pt idx="999">
                  <c:v>-1.5909598390811186E-2</c:v>
                </c:pt>
                <c:pt idx="1000">
                  <c:v>-5.2876031309045946E-4</c:v>
                </c:pt>
                <c:pt idx="1001">
                  <c:v>2.3809477918152355E-2</c:v>
                </c:pt>
                <c:pt idx="1002">
                  <c:v>-2.3772617728444856E-2</c:v>
                </c:pt>
                <c:pt idx="1003">
                  <c:v>-2.798117002136058E-3</c:v>
                </c:pt>
                <c:pt idx="1004">
                  <c:v>-1.3878370894294223E-2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4-4C97-883F-8B0B13385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565471"/>
        <c:axId val="765567135"/>
      </c:areaChart>
      <c:catAx>
        <c:axId val="765565471"/>
        <c:scaling>
          <c:orientation val="minMax"/>
          <c:max val="44196"/>
          <c:min val="4383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67135"/>
        <c:crosses val="autoZero"/>
        <c:auto val="1"/>
        <c:lblAlgn val="ctr"/>
        <c:lblOffset val="100"/>
        <c:noMultiLvlLbl val="1"/>
      </c:catAx>
      <c:valAx>
        <c:axId val="765567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65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stock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META!$H$1</c:f>
              <c:strCache>
                <c:ptCount val="1"/>
                <c:pt idx="0">
                  <c:v>Meta stock return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META!$A$2:$A$1006</c:f>
              <c:numCache>
                <c:formatCode>m/d/yyyy</c:formatCode>
                <c:ptCount val="1005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43487</c:v>
                </c:pt>
                <c:pt idx="14">
                  <c:v>43488</c:v>
                </c:pt>
                <c:pt idx="15">
                  <c:v>43489</c:v>
                </c:pt>
                <c:pt idx="16">
                  <c:v>43490</c:v>
                </c:pt>
                <c:pt idx="17">
                  <c:v>43493</c:v>
                </c:pt>
                <c:pt idx="18">
                  <c:v>43494</c:v>
                </c:pt>
                <c:pt idx="19">
                  <c:v>43495</c:v>
                </c:pt>
                <c:pt idx="20">
                  <c:v>43496</c:v>
                </c:pt>
                <c:pt idx="21">
                  <c:v>43497</c:v>
                </c:pt>
                <c:pt idx="22">
                  <c:v>43500</c:v>
                </c:pt>
                <c:pt idx="23">
                  <c:v>43501</c:v>
                </c:pt>
                <c:pt idx="24">
                  <c:v>43502</c:v>
                </c:pt>
                <c:pt idx="25">
                  <c:v>43503</c:v>
                </c:pt>
                <c:pt idx="26">
                  <c:v>43504</c:v>
                </c:pt>
                <c:pt idx="27">
                  <c:v>43507</c:v>
                </c:pt>
                <c:pt idx="28">
                  <c:v>43508</c:v>
                </c:pt>
                <c:pt idx="29">
                  <c:v>43509</c:v>
                </c:pt>
                <c:pt idx="30">
                  <c:v>43510</c:v>
                </c:pt>
                <c:pt idx="31">
                  <c:v>43511</c:v>
                </c:pt>
                <c:pt idx="32">
                  <c:v>43515</c:v>
                </c:pt>
                <c:pt idx="33">
                  <c:v>43516</c:v>
                </c:pt>
                <c:pt idx="34">
                  <c:v>43517</c:v>
                </c:pt>
                <c:pt idx="35">
                  <c:v>43518</c:v>
                </c:pt>
                <c:pt idx="36">
                  <c:v>43521</c:v>
                </c:pt>
                <c:pt idx="37">
                  <c:v>43522</c:v>
                </c:pt>
                <c:pt idx="38">
                  <c:v>43523</c:v>
                </c:pt>
                <c:pt idx="39">
                  <c:v>43524</c:v>
                </c:pt>
                <c:pt idx="40">
                  <c:v>43525</c:v>
                </c:pt>
                <c:pt idx="41">
                  <c:v>43528</c:v>
                </c:pt>
                <c:pt idx="42">
                  <c:v>43529</c:v>
                </c:pt>
                <c:pt idx="43">
                  <c:v>43530</c:v>
                </c:pt>
                <c:pt idx="44">
                  <c:v>43531</c:v>
                </c:pt>
                <c:pt idx="45">
                  <c:v>43532</c:v>
                </c:pt>
                <c:pt idx="46">
                  <c:v>43535</c:v>
                </c:pt>
                <c:pt idx="47">
                  <c:v>43536</c:v>
                </c:pt>
                <c:pt idx="48">
                  <c:v>43537</c:v>
                </c:pt>
                <c:pt idx="49">
                  <c:v>43538</c:v>
                </c:pt>
                <c:pt idx="50">
                  <c:v>43539</c:v>
                </c:pt>
                <c:pt idx="51">
                  <c:v>43542</c:v>
                </c:pt>
                <c:pt idx="52">
                  <c:v>43543</c:v>
                </c:pt>
                <c:pt idx="53">
                  <c:v>43544</c:v>
                </c:pt>
                <c:pt idx="54">
                  <c:v>43545</c:v>
                </c:pt>
                <c:pt idx="55">
                  <c:v>43546</c:v>
                </c:pt>
                <c:pt idx="56">
                  <c:v>43549</c:v>
                </c:pt>
                <c:pt idx="57">
                  <c:v>43550</c:v>
                </c:pt>
                <c:pt idx="58">
                  <c:v>43551</c:v>
                </c:pt>
                <c:pt idx="59">
                  <c:v>43552</c:v>
                </c:pt>
                <c:pt idx="60">
                  <c:v>43553</c:v>
                </c:pt>
                <c:pt idx="61">
                  <c:v>43556</c:v>
                </c:pt>
                <c:pt idx="62">
                  <c:v>43557</c:v>
                </c:pt>
                <c:pt idx="63">
                  <c:v>43558</c:v>
                </c:pt>
                <c:pt idx="64">
                  <c:v>43559</c:v>
                </c:pt>
                <c:pt idx="65">
                  <c:v>43560</c:v>
                </c:pt>
                <c:pt idx="66">
                  <c:v>43563</c:v>
                </c:pt>
                <c:pt idx="67">
                  <c:v>43564</c:v>
                </c:pt>
                <c:pt idx="68">
                  <c:v>43565</c:v>
                </c:pt>
                <c:pt idx="69">
                  <c:v>43566</c:v>
                </c:pt>
                <c:pt idx="70">
                  <c:v>43567</c:v>
                </c:pt>
                <c:pt idx="71">
                  <c:v>43570</c:v>
                </c:pt>
                <c:pt idx="72">
                  <c:v>43571</c:v>
                </c:pt>
                <c:pt idx="73">
                  <c:v>43572</c:v>
                </c:pt>
                <c:pt idx="74">
                  <c:v>43573</c:v>
                </c:pt>
                <c:pt idx="75">
                  <c:v>43577</c:v>
                </c:pt>
                <c:pt idx="76">
                  <c:v>43578</c:v>
                </c:pt>
                <c:pt idx="77">
                  <c:v>43579</c:v>
                </c:pt>
                <c:pt idx="78">
                  <c:v>43580</c:v>
                </c:pt>
                <c:pt idx="79">
                  <c:v>43581</c:v>
                </c:pt>
                <c:pt idx="80">
                  <c:v>43584</c:v>
                </c:pt>
                <c:pt idx="81">
                  <c:v>43585</c:v>
                </c:pt>
                <c:pt idx="82">
                  <c:v>43586</c:v>
                </c:pt>
                <c:pt idx="83">
                  <c:v>43587</c:v>
                </c:pt>
                <c:pt idx="84">
                  <c:v>43588</c:v>
                </c:pt>
                <c:pt idx="85">
                  <c:v>43591</c:v>
                </c:pt>
                <c:pt idx="86">
                  <c:v>43592</c:v>
                </c:pt>
                <c:pt idx="87">
                  <c:v>43593</c:v>
                </c:pt>
                <c:pt idx="88">
                  <c:v>43594</c:v>
                </c:pt>
                <c:pt idx="89">
                  <c:v>43595</c:v>
                </c:pt>
                <c:pt idx="90">
                  <c:v>43598</c:v>
                </c:pt>
                <c:pt idx="91">
                  <c:v>43599</c:v>
                </c:pt>
                <c:pt idx="92">
                  <c:v>43600</c:v>
                </c:pt>
                <c:pt idx="93">
                  <c:v>43601</c:v>
                </c:pt>
                <c:pt idx="94">
                  <c:v>43602</c:v>
                </c:pt>
                <c:pt idx="95">
                  <c:v>43605</c:v>
                </c:pt>
                <c:pt idx="96">
                  <c:v>43606</c:v>
                </c:pt>
                <c:pt idx="97">
                  <c:v>43607</c:v>
                </c:pt>
                <c:pt idx="98">
                  <c:v>43608</c:v>
                </c:pt>
                <c:pt idx="99">
                  <c:v>43609</c:v>
                </c:pt>
                <c:pt idx="100">
                  <c:v>43613</c:v>
                </c:pt>
                <c:pt idx="101">
                  <c:v>43614</c:v>
                </c:pt>
                <c:pt idx="102">
                  <c:v>43615</c:v>
                </c:pt>
                <c:pt idx="103">
                  <c:v>43616</c:v>
                </c:pt>
                <c:pt idx="104">
                  <c:v>43619</c:v>
                </c:pt>
                <c:pt idx="105">
                  <c:v>43620</c:v>
                </c:pt>
                <c:pt idx="106">
                  <c:v>43621</c:v>
                </c:pt>
                <c:pt idx="107">
                  <c:v>43622</c:v>
                </c:pt>
                <c:pt idx="108">
                  <c:v>43623</c:v>
                </c:pt>
                <c:pt idx="109">
                  <c:v>43626</c:v>
                </c:pt>
                <c:pt idx="110">
                  <c:v>43627</c:v>
                </c:pt>
                <c:pt idx="111">
                  <c:v>43628</c:v>
                </c:pt>
                <c:pt idx="112">
                  <c:v>43629</c:v>
                </c:pt>
                <c:pt idx="113">
                  <c:v>43630</c:v>
                </c:pt>
                <c:pt idx="114">
                  <c:v>43633</c:v>
                </c:pt>
                <c:pt idx="115">
                  <c:v>43634</c:v>
                </c:pt>
                <c:pt idx="116">
                  <c:v>43635</c:v>
                </c:pt>
                <c:pt idx="117">
                  <c:v>43636</c:v>
                </c:pt>
                <c:pt idx="118">
                  <c:v>43637</c:v>
                </c:pt>
                <c:pt idx="119">
                  <c:v>43640</c:v>
                </c:pt>
                <c:pt idx="120">
                  <c:v>43641</c:v>
                </c:pt>
                <c:pt idx="121">
                  <c:v>43642</c:v>
                </c:pt>
                <c:pt idx="122">
                  <c:v>43643</c:v>
                </c:pt>
                <c:pt idx="123">
                  <c:v>43644</c:v>
                </c:pt>
                <c:pt idx="124">
                  <c:v>43647</c:v>
                </c:pt>
                <c:pt idx="125">
                  <c:v>43648</c:v>
                </c:pt>
                <c:pt idx="126">
                  <c:v>43649</c:v>
                </c:pt>
                <c:pt idx="127">
                  <c:v>43651</c:v>
                </c:pt>
                <c:pt idx="128">
                  <c:v>43654</c:v>
                </c:pt>
                <c:pt idx="129">
                  <c:v>43655</c:v>
                </c:pt>
                <c:pt idx="130">
                  <c:v>43656</c:v>
                </c:pt>
                <c:pt idx="131">
                  <c:v>43657</c:v>
                </c:pt>
                <c:pt idx="132">
                  <c:v>43658</c:v>
                </c:pt>
                <c:pt idx="133">
                  <c:v>43661</c:v>
                </c:pt>
                <c:pt idx="134">
                  <c:v>43662</c:v>
                </c:pt>
                <c:pt idx="135">
                  <c:v>43663</c:v>
                </c:pt>
                <c:pt idx="136">
                  <c:v>43664</c:v>
                </c:pt>
                <c:pt idx="137">
                  <c:v>43665</c:v>
                </c:pt>
                <c:pt idx="138">
                  <c:v>43668</c:v>
                </c:pt>
                <c:pt idx="139">
                  <c:v>43669</c:v>
                </c:pt>
                <c:pt idx="140">
                  <c:v>43670</c:v>
                </c:pt>
                <c:pt idx="141">
                  <c:v>43671</c:v>
                </c:pt>
                <c:pt idx="142">
                  <c:v>43672</c:v>
                </c:pt>
                <c:pt idx="143">
                  <c:v>43675</c:v>
                </c:pt>
                <c:pt idx="144">
                  <c:v>43676</c:v>
                </c:pt>
                <c:pt idx="145">
                  <c:v>43677</c:v>
                </c:pt>
                <c:pt idx="146">
                  <c:v>43678</c:v>
                </c:pt>
                <c:pt idx="147">
                  <c:v>43679</c:v>
                </c:pt>
                <c:pt idx="148">
                  <c:v>43682</c:v>
                </c:pt>
                <c:pt idx="149">
                  <c:v>43683</c:v>
                </c:pt>
                <c:pt idx="150">
                  <c:v>43684</c:v>
                </c:pt>
                <c:pt idx="151">
                  <c:v>43685</c:v>
                </c:pt>
                <c:pt idx="152">
                  <c:v>43686</c:v>
                </c:pt>
                <c:pt idx="153">
                  <c:v>43689</c:v>
                </c:pt>
                <c:pt idx="154">
                  <c:v>43690</c:v>
                </c:pt>
                <c:pt idx="155">
                  <c:v>43691</c:v>
                </c:pt>
                <c:pt idx="156">
                  <c:v>43692</c:v>
                </c:pt>
                <c:pt idx="157">
                  <c:v>43693</c:v>
                </c:pt>
                <c:pt idx="158">
                  <c:v>43696</c:v>
                </c:pt>
                <c:pt idx="159">
                  <c:v>43697</c:v>
                </c:pt>
                <c:pt idx="160">
                  <c:v>43698</c:v>
                </c:pt>
                <c:pt idx="161">
                  <c:v>43699</c:v>
                </c:pt>
                <c:pt idx="162">
                  <c:v>43700</c:v>
                </c:pt>
                <c:pt idx="163">
                  <c:v>43703</c:v>
                </c:pt>
                <c:pt idx="164">
                  <c:v>43704</c:v>
                </c:pt>
                <c:pt idx="165">
                  <c:v>43705</c:v>
                </c:pt>
                <c:pt idx="166">
                  <c:v>43706</c:v>
                </c:pt>
                <c:pt idx="167">
                  <c:v>43707</c:v>
                </c:pt>
                <c:pt idx="168">
                  <c:v>43711</c:v>
                </c:pt>
                <c:pt idx="169">
                  <c:v>43712</c:v>
                </c:pt>
                <c:pt idx="170">
                  <c:v>43713</c:v>
                </c:pt>
                <c:pt idx="171">
                  <c:v>43714</c:v>
                </c:pt>
                <c:pt idx="172">
                  <c:v>43717</c:v>
                </c:pt>
                <c:pt idx="173">
                  <c:v>43718</c:v>
                </c:pt>
                <c:pt idx="174">
                  <c:v>43719</c:v>
                </c:pt>
                <c:pt idx="175">
                  <c:v>43720</c:v>
                </c:pt>
                <c:pt idx="176">
                  <c:v>43721</c:v>
                </c:pt>
                <c:pt idx="177">
                  <c:v>43724</c:v>
                </c:pt>
                <c:pt idx="178">
                  <c:v>43725</c:v>
                </c:pt>
                <c:pt idx="179">
                  <c:v>43726</c:v>
                </c:pt>
                <c:pt idx="180">
                  <c:v>43727</c:v>
                </c:pt>
                <c:pt idx="181">
                  <c:v>43728</c:v>
                </c:pt>
                <c:pt idx="182">
                  <c:v>43731</c:v>
                </c:pt>
                <c:pt idx="183">
                  <c:v>43732</c:v>
                </c:pt>
                <c:pt idx="184">
                  <c:v>43733</c:v>
                </c:pt>
                <c:pt idx="185">
                  <c:v>43734</c:v>
                </c:pt>
                <c:pt idx="186">
                  <c:v>43735</c:v>
                </c:pt>
                <c:pt idx="187">
                  <c:v>43738</c:v>
                </c:pt>
                <c:pt idx="188">
                  <c:v>43739</c:v>
                </c:pt>
                <c:pt idx="189">
                  <c:v>43740</c:v>
                </c:pt>
                <c:pt idx="190">
                  <c:v>43741</c:v>
                </c:pt>
                <c:pt idx="191">
                  <c:v>43742</c:v>
                </c:pt>
                <c:pt idx="192">
                  <c:v>43745</c:v>
                </c:pt>
                <c:pt idx="193">
                  <c:v>43746</c:v>
                </c:pt>
                <c:pt idx="194">
                  <c:v>43747</c:v>
                </c:pt>
                <c:pt idx="195">
                  <c:v>43748</c:v>
                </c:pt>
                <c:pt idx="196">
                  <c:v>43749</c:v>
                </c:pt>
                <c:pt idx="197">
                  <c:v>43752</c:v>
                </c:pt>
                <c:pt idx="198">
                  <c:v>43753</c:v>
                </c:pt>
                <c:pt idx="199">
                  <c:v>43754</c:v>
                </c:pt>
                <c:pt idx="200">
                  <c:v>43755</c:v>
                </c:pt>
                <c:pt idx="201">
                  <c:v>43756</c:v>
                </c:pt>
                <c:pt idx="202">
                  <c:v>43759</c:v>
                </c:pt>
                <c:pt idx="203">
                  <c:v>43760</c:v>
                </c:pt>
                <c:pt idx="204">
                  <c:v>43761</c:v>
                </c:pt>
                <c:pt idx="205">
                  <c:v>43762</c:v>
                </c:pt>
                <c:pt idx="206">
                  <c:v>43763</c:v>
                </c:pt>
                <c:pt idx="207">
                  <c:v>43766</c:v>
                </c:pt>
                <c:pt idx="208">
                  <c:v>43767</c:v>
                </c:pt>
                <c:pt idx="209">
                  <c:v>43768</c:v>
                </c:pt>
                <c:pt idx="210">
                  <c:v>43769</c:v>
                </c:pt>
                <c:pt idx="211">
                  <c:v>43770</c:v>
                </c:pt>
                <c:pt idx="212">
                  <c:v>43773</c:v>
                </c:pt>
                <c:pt idx="213">
                  <c:v>43774</c:v>
                </c:pt>
                <c:pt idx="214">
                  <c:v>43775</c:v>
                </c:pt>
                <c:pt idx="215">
                  <c:v>43776</c:v>
                </c:pt>
                <c:pt idx="216">
                  <c:v>43777</c:v>
                </c:pt>
                <c:pt idx="217">
                  <c:v>43780</c:v>
                </c:pt>
                <c:pt idx="218">
                  <c:v>43781</c:v>
                </c:pt>
                <c:pt idx="219">
                  <c:v>43782</c:v>
                </c:pt>
                <c:pt idx="220">
                  <c:v>43783</c:v>
                </c:pt>
                <c:pt idx="221">
                  <c:v>43784</c:v>
                </c:pt>
                <c:pt idx="222">
                  <c:v>43787</c:v>
                </c:pt>
                <c:pt idx="223">
                  <c:v>43788</c:v>
                </c:pt>
                <c:pt idx="224">
                  <c:v>43789</c:v>
                </c:pt>
                <c:pt idx="225">
                  <c:v>43790</c:v>
                </c:pt>
                <c:pt idx="226">
                  <c:v>43791</c:v>
                </c:pt>
                <c:pt idx="227">
                  <c:v>43794</c:v>
                </c:pt>
                <c:pt idx="228">
                  <c:v>43795</c:v>
                </c:pt>
                <c:pt idx="229">
                  <c:v>43796</c:v>
                </c:pt>
                <c:pt idx="230">
                  <c:v>43798</c:v>
                </c:pt>
                <c:pt idx="231">
                  <c:v>43801</c:v>
                </c:pt>
                <c:pt idx="232">
                  <c:v>43802</c:v>
                </c:pt>
                <c:pt idx="233">
                  <c:v>43803</c:v>
                </c:pt>
                <c:pt idx="234">
                  <c:v>43804</c:v>
                </c:pt>
                <c:pt idx="235">
                  <c:v>43805</c:v>
                </c:pt>
                <c:pt idx="236">
                  <c:v>43808</c:v>
                </c:pt>
                <c:pt idx="237">
                  <c:v>43809</c:v>
                </c:pt>
                <c:pt idx="238">
                  <c:v>43810</c:v>
                </c:pt>
                <c:pt idx="239">
                  <c:v>43811</c:v>
                </c:pt>
                <c:pt idx="240">
                  <c:v>43812</c:v>
                </c:pt>
                <c:pt idx="241">
                  <c:v>43815</c:v>
                </c:pt>
                <c:pt idx="242">
                  <c:v>43816</c:v>
                </c:pt>
                <c:pt idx="243">
                  <c:v>43817</c:v>
                </c:pt>
                <c:pt idx="244">
                  <c:v>43818</c:v>
                </c:pt>
                <c:pt idx="245">
                  <c:v>43819</c:v>
                </c:pt>
                <c:pt idx="246">
                  <c:v>43822</c:v>
                </c:pt>
                <c:pt idx="247">
                  <c:v>43823</c:v>
                </c:pt>
                <c:pt idx="248">
                  <c:v>43825</c:v>
                </c:pt>
                <c:pt idx="249">
                  <c:v>43826</c:v>
                </c:pt>
                <c:pt idx="250">
                  <c:v>43829</c:v>
                </c:pt>
                <c:pt idx="251">
                  <c:v>43830</c:v>
                </c:pt>
                <c:pt idx="252">
                  <c:v>43832</c:v>
                </c:pt>
                <c:pt idx="253">
                  <c:v>43833</c:v>
                </c:pt>
                <c:pt idx="254">
                  <c:v>43836</c:v>
                </c:pt>
                <c:pt idx="255">
                  <c:v>43837</c:v>
                </c:pt>
                <c:pt idx="256">
                  <c:v>43838</c:v>
                </c:pt>
                <c:pt idx="257">
                  <c:v>43839</c:v>
                </c:pt>
                <c:pt idx="258">
                  <c:v>43840</c:v>
                </c:pt>
                <c:pt idx="259">
                  <c:v>43843</c:v>
                </c:pt>
                <c:pt idx="260">
                  <c:v>43844</c:v>
                </c:pt>
                <c:pt idx="261">
                  <c:v>43845</c:v>
                </c:pt>
                <c:pt idx="262">
                  <c:v>43846</c:v>
                </c:pt>
                <c:pt idx="263">
                  <c:v>43847</c:v>
                </c:pt>
                <c:pt idx="264">
                  <c:v>43851</c:v>
                </c:pt>
                <c:pt idx="265">
                  <c:v>43852</c:v>
                </c:pt>
                <c:pt idx="266">
                  <c:v>43853</c:v>
                </c:pt>
                <c:pt idx="267">
                  <c:v>43854</c:v>
                </c:pt>
                <c:pt idx="268">
                  <c:v>43857</c:v>
                </c:pt>
                <c:pt idx="269">
                  <c:v>43858</c:v>
                </c:pt>
                <c:pt idx="270">
                  <c:v>43859</c:v>
                </c:pt>
                <c:pt idx="271">
                  <c:v>43860</c:v>
                </c:pt>
                <c:pt idx="272">
                  <c:v>43861</c:v>
                </c:pt>
                <c:pt idx="273">
                  <c:v>43864</c:v>
                </c:pt>
                <c:pt idx="274">
                  <c:v>43865</c:v>
                </c:pt>
                <c:pt idx="275">
                  <c:v>43866</c:v>
                </c:pt>
                <c:pt idx="276">
                  <c:v>43867</c:v>
                </c:pt>
                <c:pt idx="277">
                  <c:v>43868</c:v>
                </c:pt>
                <c:pt idx="278">
                  <c:v>43871</c:v>
                </c:pt>
                <c:pt idx="279">
                  <c:v>43872</c:v>
                </c:pt>
                <c:pt idx="280">
                  <c:v>43873</c:v>
                </c:pt>
                <c:pt idx="281">
                  <c:v>43874</c:v>
                </c:pt>
                <c:pt idx="282">
                  <c:v>43875</c:v>
                </c:pt>
                <c:pt idx="283">
                  <c:v>43879</c:v>
                </c:pt>
                <c:pt idx="284">
                  <c:v>43880</c:v>
                </c:pt>
                <c:pt idx="285">
                  <c:v>43881</c:v>
                </c:pt>
                <c:pt idx="286">
                  <c:v>43882</c:v>
                </c:pt>
                <c:pt idx="287">
                  <c:v>43885</c:v>
                </c:pt>
                <c:pt idx="288">
                  <c:v>43886</c:v>
                </c:pt>
                <c:pt idx="289">
                  <c:v>43887</c:v>
                </c:pt>
                <c:pt idx="290">
                  <c:v>43888</c:v>
                </c:pt>
                <c:pt idx="291">
                  <c:v>43889</c:v>
                </c:pt>
                <c:pt idx="292">
                  <c:v>43892</c:v>
                </c:pt>
                <c:pt idx="293">
                  <c:v>43893</c:v>
                </c:pt>
                <c:pt idx="294">
                  <c:v>43894</c:v>
                </c:pt>
                <c:pt idx="295">
                  <c:v>43895</c:v>
                </c:pt>
                <c:pt idx="296">
                  <c:v>43896</c:v>
                </c:pt>
                <c:pt idx="297">
                  <c:v>43899</c:v>
                </c:pt>
                <c:pt idx="298">
                  <c:v>43900</c:v>
                </c:pt>
                <c:pt idx="299">
                  <c:v>43901</c:v>
                </c:pt>
                <c:pt idx="300">
                  <c:v>43902</c:v>
                </c:pt>
                <c:pt idx="301">
                  <c:v>43903</c:v>
                </c:pt>
                <c:pt idx="302">
                  <c:v>43906</c:v>
                </c:pt>
                <c:pt idx="303">
                  <c:v>43907</c:v>
                </c:pt>
                <c:pt idx="304">
                  <c:v>43908</c:v>
                </c:pt>
                <c:pt idx="305">
                  <c:v>43909</c:v>
                </c:pt>
                <c:pt idx="306">
                  <c:v>43910</c:v>
                </c:pt>
                <c:pt idx="307">
                  <c:v>43913</c:v>
                </c:pt>
                <c:pt idx="308">
                  <c:v>43914</c:v>
                </c:pt>
                <c:pt idx="309">
                  <c:v>43915</c:v>
                </c:pt>
                <c:pt idx="310">
                  <c:v>43916</c:v>
                </c:pt>
                <c:pt idx="311">
                  <c:v>43917</c:v>
                </c:pt>
                <c:pt idx="312">
                  <c:v>43920</c:v>
                </c:pt>
                <c:pt idx="313">
                  <c:v>43921</c:v>
                </c:pt>
                <c:pt idx="314">
                  <c:v>43922</c:v>
                </c:pt>
                <c:pt idx="315">
                  <c:v>43923</c:v>
                </c:pt>
                <c:pt idx="316">
                  <c:v>43924</c:v>
                </c:pt>
                <c:pt idx="317">
                  <c:v>43927</c:v>
                </c:pt>
                <c:pt idx="318">
                  <c:v>43928</c:v>
                </c:pt>
                <c:pt idx="319">
                  <c:v>43929</c:v>
                </c:pt>
                <c:pt idx="320">
                  <c:v>43930</c:v>
                </c:pt>
                <c:pt idx="321">
                  <c:v>43934</c:v>
                </c:pt>
                <c:pt idx="322">
                  <c:v>43935</c:v>
                </c:pt>
                <c:pt idx="323">
                  <c:v>43936</c:v>
                </c:pt>
                <c:pt idx="324">
                  <c:v>43937</c:v>
                </c:pt>
                <c:pt idx="325">
                  <c:v>43938</c:v>
                </c:pt>
                <c:pt idx="326">
                  <c:v>43941</c:v>
                </c:pt>
                <c:pt idx="327">
                  <c:v>43942</c:v>
                </c:pt>
                <c:pt idx="328">
                  <c:v>43943</c:v>
                </c:pt>
                <c:pt idx="329">
                  <c:v>43944</c:v>
                </c:pt>
                <c:pt idx="330">
                  <c:v>43945</c:v>
                </c:pt>
                <c:pt idx="331">
                  <c:v>43948</c:v>
                </c:pt>
                <c:pt idx="332">
                  <c:v>43949</c:v>
                </c:pt>
                <c:pt idx="333">
                  <c:v>43950</c:v>
                </c:pt>
                <c:pt idx="334">
                  <c:v>43951</c:v>
                </c:pt>
                <c:pt idx="335">
                  <c:v>43952</c:v>
                </c:pt>
                <c:pt idx="336">
                  <c:v>43955</c:v>
                </c:pt>
                <c:pt idx="337">
                  <c:v>43956</c:v>
                </c:pt>
                <c:pt idx="338">
                  <c:v>43957</c:v>
                </c:pt>
                <c:pt idx="339">
                  <c:v>43958</c:v>
                </c:pt>
                <c:pt idx="340">
                  <c:v>43959</c:v>
                </c:pt>
                <c:pt idx="341">
                  <c:v>43962</c:v>
                </c:pt>
                <c:pt idx="342">
                  <c:v>43963</c:v>
                </c:pt>
                <c:pt idx="343">
                  <c:v>43964</c:v>
                </c:pt>
                <c:pt idx="344">
                  <c:v>43965</c:v>
                </c:pt>
                <c:pt idx="345">
                  <c:v>43966</c:v>
                </c:pt>
                <c:pt idx="346">
                  <c:v>43969</c:v>
                </c:pt>
                <c:pt idx="347">
                  <c:v>43970</c:v>
                </c:pt>
                <c:pt idx="348">
                  <c:v>43971</c:v>
                </c:pt>
                <c:pt idx="349">
                  <c:v>43972</c:v>
                </c:pt>
                <c:pt idx="350">
                  <c:v>43973</c:v>
                </c:pt>
                <c:pt idx="351">
                  <c:v>43977</c:v>
                </c:pt>
                <c:pt idx="352">
                  <c:v>43978</c:v>
                </c:pt>
                <c:pt idx="353">
                  <c:v>43979</c:v>
                </c:pt>
                <c:pt idx="354">
                  <c:v>43980</c:v>
                </c:pt>
                <c:pt idx="355">
                  <c:v>43983</c:v>
                </c:pt>
                <c:pt idx="356">
                  <c:v>43984</c:v>
                </c:pt>
                <c:pt idx="357">
                  <c:v>43985</c:v>
                </c:pt>
                <c:pt idx="358">
                  <c:v>43986</c:v>
                </c:pt>
                <c:pt idx="359">
                  <c:v>43987</c:v>
                </c:pt>
                <c:pt idx="360">
                  <c:v>43990</c:v>
                </c:pt>
                <c:pt idx="361">
                  <c:v>43991</c:v>
                </c:pt>
                <c:pt idx="362">
                  <c:v>43992</c:v>
                </c:pt>
                <c:pt idx="363">
                  <c:v>43993</c:v>
                </c:pt>
                <c:pt idx="364">
                  <c:v>43994</c:v>
                </c:pt>
                <c:pt idx="365">
                  <c:v>43997</c:v>
                </c:pt>
                <c:pt idx="366">
                  <c:v>43998</c:v>
                </c:pt>
                <c:pt idx="367">
                  <c:v>43999</c:v>
                </c:pt>
                <c:pt idx="368">
                  <c:v>44000</c:v>
                </c:pt>
                <c:pt idx="369">
                  <c:v>44001</c:v>
                </c:pt>
                <c:pt idx="370">
                  <c:v>44004</c:v>
                </c:pt>
                <c:pt idx="371">
                  <c:v>44005</c:v>
                </c:pt>
                <c:pt idx="372">
                  <c:v>44006</c:v>
                </c:pt>
                <c:pt idx="373">
                  <c:v>44007</c:v>
                </c:pt>
                <c:pt idx="374">
                  <c:v>44008</c:v>
                </c:pt>
                <c:pt idx="375">
                  <c:v>44011</c:v>
                </c:pt>
                <c:pt idx="376">
                  <c:v>44012</c:v>
                </c:pt>
                <c:pt idx="377">
                  <c:v>44013</c:v>
                </c:pt>
                <c:pt idx="378">
                  <c:v>44014</c:v>
                </c:pt>
                <c:pt idx="379">
                  <c:v>44018</c:v>
                </c:pt>
                <c:pt idx="380">
                  <c:v>44019</c:v>
                </c:pt>
                <c:pt idx="381">
                  <c:v>44020</c:v>
                </c:pt>
                <c:pt idx="382">
                  <c:v>44021</c:v>
                </c:pt>
                <c:pt idx="383">
                  <c:v>44022</c:v>
                </c:pt>
                <c:pt idx="384">
                  <c:v>44025</c:v>
                </c:pt>
                <c:pt idx="385">
                  <c:v>44026</c:v>
                </c:pt>
                <c:pt idx="386">
                  <c:v>44027</c:v>
                </c:pt>
                <c:pt idx="387">
                  <c:v>44028</c:v>
                </c:pt>
                <c:pt idx="388">
                  <c:v>44029</c:v>
                </c:pt>
                <c:pt idx="389">
                  <c:v>44032</c:v>
                </c:pt>
                <c:pt idx="390">
                  <c:v>44033</c:v>
                </c:pt>
                <c:pt idx="391">
                  <c:v>44034</c:v>
                </c:pt>
                <c:pt idx="392">
                  <c:v>44035</c:v>
                </c:pt>
                <c:pt idx="393">
                  <c:v>44036</c:v>
                </c:pt>
                <c:pt idx="394">
                  <c:v>44039</c:v>
                </c:pt>
                <c:pt idx="395">
                  <c:v>44040</c:v>
                </c:pt>
                <c:pt idx="396">
                  <c:v>44041</c:v>
                </c:pt>
                <c:pt idx="397">
                  <c:v>44042</c:v>
                </c:pt>
                <c:pt idx="398">
                  <c:v>44043</c:v>
                </c:pt>
                <c:pt idx="399">
                  <c:v>44046</c:v>
                </c:pt>
                <c:pt idx="400">
                  <c:v>44047</c:v>
                </c:pt>
                <c:pt idx="401">
                  <c:v>44048</c:v>
                </c:pt>
                <c:pt idx="402">
                  <c:v>44049</c:v>
                </c:pt>
                <c:pt idx="403">
                  <c:v>44050</c:v>
                </c:pt>
                <c:pt idx="404">
                  <c:v>44053</c:v>
                </c:pt>
                <c:pt idx="405">
                  <c:v>44054</c:v>
                </c:pt>
                <c:pt idx="406">
                  <c:v>44055</c:v>
                </c:pt>
                <c:pt idx="407">
                  <c:v>44056</c:v>
                </c:pt>
                <c:pt idx="408">
                  <c:v>44057</c:v>
                </c:pt>
                <c:pt idx="409">
                  <c:v>44060</c:v>
                </c:pt>
                <c:pt idx="410">
                  <c:v>44061</c:v>
                </c:pt>
                <c:pt idx="411">
                  <c:v>44062</c:v>
                </c:pt>
                <c:pt idx="412">
                  <c:v>44063</c:v>
                </c:pt>
                <c:pt idx="413">
                  <c:v>44064</c:v>
                </c:pt>
                <c:pt idx="414">
                  <c:v>44067</c:v>
                </c:pt>
                <c:pt idx="415">
                  <c:v>44068</c:v>
                </c:pt>
                <c:pt idx="416">
                  <c:v>44069</c:v>
                </c:pt>
                <c:pt idx="417">
                  <c:v>44070</c:v>
                </c:pt>
                <c:pt idx="418">
                  <c:v>44071</c:v>
                </c:pt>
                <c:pt idx="419">
                  <c:v>44074</c:v>
                </c:pt>
                <c:pt idx="420">
                  <c:v>44075</c:v>
                </c:pt>
                <c:pt idx="421">
                  <c:v>44076</c:v>
                </c:pt>
                <c:pt idx="422">
                  <c:v>44077</c:v>
                </c:pt>
                <c:pt idx="423">
                  <c:v>44078</c:v>
                </c:pt>
                <c:pt idx="424">
                  <c:v>44082</c:v>
                </c:pt>
                <c:pt idx="425">
                  <c:v>44083</c:v>
                </c:pt>
                <c:pt idx="426">
                  <c:v>44084</c:v>
                </c:pt>
                <c:pt idx="427">
                  <c:v>44085</c:v>
                </c:pt>
                <c:pt idx="428">
                  <c:v>44088</c:v>
                </c:pt>
                <c:pt idx="429">
                  <c:v>44089</c:v>
                </c:pt>
                <c:pt idx="430">
                  <c:v>44090</c:v>
                </c:pt>
                <c:pt idx="431">
                  <c:v>44091</c:v>
                </c:pt>
                <c:pt idx="432">
                  <c:v>44092</c:v>
                </c:pt>
                <c:pt idx="433">
                  <c:v>44095</c:v>
                </c:pt>
                <c:pt idx="434">
                  <c:v>44096</c:v>
                </c:pt>
                <c:pt idx="435">
                  <c:v>44097</c:v>
                </c:pt>
                <c:pt idx="436">
                  <c:v>44098</c:v>
                </c:pt>
                <c:pt idx="437">
                  <c:v>44099</c:v>
                </c:pt>
                <c:pt idx="438">
                  <c:v>44102</c:v>
                </c:pt>
                <c:pt idx="439">
                  <c:v>44103</c:v>
                </c:pt>
                <c:pt idx="440">
                  <c:v>44104</c:v>
                </c:pt>
                <c:pt idx="441">
                  <c:v>44105</c:v>
                </c:pt>
                <c:pt idx="442">
                  <c:v>44106</c:v>
                </c:pt>
                <c:pt idx="443">
                  <c:v>44109</c:v>
                </c:pt>
                <c:pt idx="444">
                  <c:v>44110</c:v>
                </c:pt>
                <c:pt idx="445">
                  <c:v>44111</c:v>
                </c:pt>
                <c:pt idx="446">
                  <c:v>44112</c:v>
                </c:pt>
                <c:pt idx="447">
                  <c:v>44113</c:v>
                </c:pt>
                <c:pt idx="448">
                  <c:v>44116</c:v>
                </c:pt>
                <c:pt idx="449">
                  <c:v>44117</c:v>
                </c:pt>
                <c:pt idx="450">
                  <c:v>44118</c:v>
                </c:pt>
                <c:pt idx="451">
                  <c:v>44119</c:v>
                </c:pt>
                <c:pt idx="452">
                  <c:v>44120</c:v>
                </c:pt>
                <c:pt idx="453">
                  <c:v>44123</c:v>
                </c:pt>
                <c:pt idx="454">
                  <c:v>44124</c:v>
                </c:pt>
                <c:pt idx="455">
                  <c:v>44125</c:v>
                </c:pt>
                <c:pt idx="456">
                  <c:v>44126</c:v>
                </c:pt>
                <c:pt idx="457">
                  <c:v>44127</c:v>
                </c:pt>
                <c:pt idx="458">
                  <c:v>44130</c:v>
                </c:pt>
                <c:pt idx="459">
                  <c:v>44131</c:v>
                </c:pt>
                <c:pt idx="460">
                  <c:v>44132</c:v>
                </c:pt>
                <c:pt idx="461">
                  <c:v>44133</c:v>
                </c:pt>
                <c:pt idx="462">
                  <c:v>44134</c:v>
                </c:pt>
                <c:pt idx="463">
                  <c:v>44137</c:v>
                </c:pt>
                <c:pt idx="464">
                  <c:v>44138</c:v>
                </c:pt>
                <c:pt idx="465">
                  <c:v>44139</c:v>
                </c:pt>
                <c:pt idx="466">
                  <c:v>44140</c:v>
                </c:pt>
                <c:pt idx="467">
                  <c:v>44141</c:v>
                </c:pt>
                <c:pt idx="468">
                  <c:v>44144</c:v>
                </c:pt>
                <c:pt idx="469">
                  <c:v>44145</c:v>
                </c:pt>
                <c:pt idx="470">
                  <c:v>44146</c:v>
                </c:pt>
                <c:pt idx="471">
                  <c:v>44147</c:v>
                </c:pt>
                <c:pt idx="472">
                  <c:v>44148</c:v>
                </c:pt>
                <c:pt idx="473">
                  <c:v>44151</c:v>
                </c:pt>
                <c:pt idx="474">
                  <c:v>44152</c:v>
                </c:pt>
                <c:pt idx="475">
                  <c:v>44153</c:v>
                </c:pt>
                <c:pt idx="476">
                  <c:v>44154</c:v>
                </c:pt>
                <c:pt idx="477">
                  <c:v>44155</c:v>
                </c:pt>
                <c:pt idx="478">
                  <c:v>44158</c:v>
                </c:pt>
                <c:pt idx="479">
                  <c:v>44159</c:v>
                </c:pt>
                <c:pt idx="480">
                  <c:v>44160</c:v>
                </c:pt>
                <c:pt idx="481">
                  <c:v>44162</c:v>
                </c:pt>
                <c:pt idx="482">
                  <c:v>44165</c:v>
                </c:pt>
                <c:pt idx="483">
                  <c:v>44166</c:v>
                </c:pt>
                <c:pt idx="484">
                  <c:v>44167</c:v>
                </c:pt>
                <c:pt idx="485">
                  <c:v>44168</c:v>
                </c:pt>
                <c:pt idx="486">
                  <c:v>44169</c:v>
                </c:pt>
                <c:pt idx="487">
                  <c:v>44172</c:v>
                </c:pt>
                <c:pt idx="488">
                  <c:v>44173</c:v>
                </c:pt>
                <c:pt idx="489">
                  <c:v>44174</c:v>
                </c:pt>
                <c:pt idx="490">
                  <c:v>44175</c:v>
                </c:pt>
                <c:pt idx="491">
                  <c:v>44176</c:v>
                </c:pt>
                <c:pt idx="492">
                  <c:v>44179</c:v>
                </c:pt>
                <c:pt idx="493">
                  <c:v>44180</c:v>
                </c:pt>
                <c:pt idx="494">
                  <c:v>44181</c:v>
                </c:pt>
                <c:pt idx="495">
                  <c:v>44182</c:v>
                </c:pt>
                <c:pt idx="496">
                  <c:v>44183</c:v>
                </c:pt>
                <c:pt idx="497">
                  <c:v>44186</c:v>
                </c:pt>
                <c:pt idx="498">
                  <c:v>44187</c:v>
                </c:pt>
                <c:pt idx="499">
                  <c:v>44188</c:v>
                </c:pt>
                <c:pt idx="500">
                  <c:v>44189</c:v>
                </c:pt>
                <c:pt idx="501">
                  <c:v>44193</c:v>
                </c:pt>
                <c:pt idx="502">
                  <c:v>44194</c:v>
                </c:pt>
                <c:pt idx="503">
                  <c:v>44195</c:v>
                </c:pt>
                <c:pt idx="504">
                  <c:v>44196</c:v>
                </c:pt>
                <c:pt idx="505">
                  <c:v>44200</c:v>
                </c:pt>
                <c:pt idx="506">
                  <c:v>44201</c:v>
                </c:pt>
                <c:pt idx="507">
                  <c:v>44202</c:v>
                </c:pt>
                <c:pt idx="508">
                  <c:v>44203</c:v>
                </c:pt>
                <c:pt idx="509">
                  <c:v>44204</c:v>
                </c:pt>
                <c:pt idx="510">
                  <c:v>44207</c:v>
                </c:pt>
                <c:pt idx="511">
                  <c:v>44208</c:v>
                </c:pt>
                <c:pt idx="512">
                  <c:v>44209</c:v>
                </c:pt>
                <c:pt idx="513">
                  <c:v>44210</c:v>
                </c:pt>
                <c:pt idx="514">
                  <c:v>44211</c:v>
                </c:pt>
                <c:pt idx="515">
                  <c:v>44215</c:v>
                </c:pt>
                <c:pt idx="516">
                  <c:v>44216</c:v>
                </c:pt>
                <c:pt idx="517">
                  <c:v>44217</c:v>
                </c:pt>
                <c:pt idx="518">
                  <c:v>44218</c:v>
                </c:pt>
                <c:pt idx="519">
                  <c:v>44221</c:v>
                </c:pt>
                <c:pt idx="520">
                  <c:v>44222</c:v>
                </c:pt>
                <c:pt idx="521">
                  <c:v>44223</c:v>
                </c:pt>
                <c:pt idx="522">
                  <c:v>44224</c:v>
                </c:pt>
                <c:pt idx="523">
                  <c:v>44225</c:v>
                </c:pt>
                <c:pt idx="524">
                  <c:v>44228</c:v>
                </c:pt>
                <c:pt idx="525">
                  <c:v>44229</c:v>
                </c:pt>
                <c:pt idx="526">
                  <c:v>44230</c:v>
                </c:pt>
                <c:pt idx="527">
                  <c:v>44231</c:v>
                </c:pt>
                <c:pt idx="528">
                  <c:v>44232</c:v>
                </c:pt>
                <c:pt idx="529">
                  <c:v>44235</c:v>
                </c:pt>
                <c:pt idx="530">
                  <c:v>44236</c:v>
                </c:pt>
                <c:pt idx="531">
                  <c:v>44237</c:v>
                </c:pt>
                <c:pt idx="532">
                  <c:v>44238</c:v>
                </c:pt>
                <c:pt idx="533">
                  <c:v>44239</c:v>
                </c:pt>
                <c:pt idx="534">
                  <c:v>44243</c:v>
                </c:pt>
                <c:pt idx="535">
                  <c:v>44244</c:v>
                </c:pt>
                <c:pt idx="536">
                  <c:v>44245</c:v>
                </c:pt>
                <c:pt idx="537">
                  <c:v>44246</c:v>
                </c:pt>
                <c:pt idx="538">
                  <c:v>44249</c:v>
                </c:pt>
                <c:pt idx="539">
                  <c:v>44250</c:v>
                </c:pt>
                <c:pt idx="540">
                  <c:v>44251</c:v>
                </c:pt>
                <c:pt idx="541">
                  <c:v>44252</c:v>
                </c:pt>
                <c:pt idx="542">
                  <c:v>44253</c:v>
                </c:pt>
                <c:pt idx="543">
                  <c:v>44256</c:v>
                </c:pt>
                <c:pt idx="544">
                  <c:v>44257</c:v>
                </c:pt>
                <c:pt idx="545">
                  <c:v>44258</c:v>
                </c:pt>
                <c:pt idx="546">
                  <c:v>44259</c:v>
                </c:pt>
                <c:pt idx="547">
                  <c:v>44260</c:v>
                </c:pt>
                <c:pt idx="548">
                  <c:v>44263</c:v>
                </c:pt>
                <c:pt idx="549">
                  <c:v>44264</c:v>
                </c:pt>
                <c:pt idx="550">
                  <c:v>44265</c:v>
                </c:pt>
                <c:pt idx="551">
                  <c:v>44266</c:v>
                </c:pt>
                <c:pt idx="552">
                  <c:v>44267</c:v>
                </c:pt>
                <c:pt idx="553">
                  <c:v>44270</c:v>
                </c:pt>
                <c:pt idx="554">
                  <c:v>44271</c:v>
                </c:pt>
                <c:pt idx="555">
                  <c:v>44272</c:v>
                </c:pt>
                <c:pt idx="556">
                  <c:v>44273</c:v>
                </c:pt>
                <c:pt idx="557">
                  <c:v>44274</c:v>
                </c:pt>
                <c:pt idx="558">
                  <c:v>44277</c:v>
                </c:pt>
                <c:pt idx="559">
                  <c:v>44278</c:v>
                </c:pt>
                <c:pt idx="560">
                  <c:v>44279</c:v>
                </c:pt>
                <c:pt idx="561">
                  <c:v>44280</c:v>
                </c:pt>
                <c:pt idx="562">
                  <c:v>44281</c:v>
                </c:pt>
                <c:pt idx="563">
                  <c:v>44284</c:v>
                </c:pt>
                <c:pt idx="564">
                  <c:v>44285</c:v>
                </c:pt>
                <c:pt idx="565">
                  <c:v>44286</c:v>
                </c:pt>
                <c:pt idx="566">
                  <c:v>44287</c:v>
                </c:pt>
                <c:pt idx="567">
                  <c:v>44291</c:v>
                </c:pt>
                <c:pt idx="568">
                  <c:v>44292</c:v>
                </c:pt>
                <c:pt idx="569">
                  <c:v>44293</c:v>
                </c:pt>
                <c:pt idx="570">
                  <c:v>44294</c:v>
                </c:pt>
                <c:pt idx="571">
                  <c:v>44295</c:v>
                </c:pt>
                <c:pt idx="572">
                  <c:v>44298</c:v>
                </c:pt>
                <c:pt idx="573">
                  <c:v>44299</c:v>
                </c:pt>
                <c:pt idx="574">
                  <c:v>44300</c:v>
                </c:pt>
                <c:pt idx="575">
                  <c:v>44301</c:v>
                </c:pt>
                <c:pt idx="576">
                  <c:v>44302</c:v>
                </c:pt>
                <c:pt idx="577">
                  <c:v>44305</c:v>
                </c:pt>
                <c:pt idx="578">
                  <c:v>44306</c:v>
                </c:pt>
                <c:pt idx="579">
                  <c:v>44307</c:v>
                </c:pt>
                <c:pt idx="580">
                  <c:v>44308</c:v>
                </c:pt>
                <c:pt idx="581">
                  <c:v>44309</c:v>
                </c:pt>
                <c:pt idx="582">
                  <c:v>44312</c:v>
                </c:pt>
                <c:pt idx="583">
                  <c:v>44313</c:v>
                </c:pt>
                <c:pt idx="584">
                  <c:v>44314</c:v>
                </c:pt>
                <c:pt idx="585">
                  <c:v>44315</c:v>
                </c:pt>
                <c:pt idx="586">
                  <c:v>44316</c:v>
                </c:pt>
                <c:pt idx="587">
                  <c:v>44319</c:v>
                </c:pt>
                <c:pt idx="588">
                  <c:v>44320</c:v>
                </c:pt>
                <c:pt idx="589">
                  <c:v>44321</c:v>
                </c:pt>
                <c:pt idx="590">
                  <c:v>44322</c:v>
                </c:pt>
                <c:pt idx="591">
                  <c:v>44323</c:v>
                </c:pt>
                <c:pt idx="592">
                  <c:v>44326</c:v>
                </c:pt>
                <c:pt idx="593">
                  <c:v>44327</c:v>
                </c:pt>
                <c:pt idx="594">
                  <c:v>44328</c:v>
                </c:pt>
                <c:pt idx="595">
                  <c:v>44329</c:v>
                </c:pt>
                <c:pt idx="596">
                  <c:v>44330</c:v>
                </c:pt>
                <c:pt idx="597">
                  <c:v>44333</c:v>
                </c:pt>
                <c:pt idx="598">
                  <c:v>44334</c:v>
                </c:pt>
                <c:pt idx="599">
                  <c:v>44335</c:v>
                </c:pt>
                <c:pt idx="600">
                  <c:v>44336</c:v>
                </c:pt>
                <c:pt idx="601">
                  <c:v>44337</c:v>
                </c:pt>
                <c:pt idx="602">
                  <c:v>44340</c:v>
                </c:pt>
                <c:pt idx="603">
                  <c:v>44341</c:v>
                </c:pt>
                <c:pt idx="604">
                  <c:v>44342</c:v>
                </c:pt>
                <c:pt idx="605">
                  <c:v>44343</c:v>
                </c:pt>
                <c:pt idx="606">
                  <c:v>44344</c:v>
                </c:pt>
                <c:pt idx="607">
                  <c:v>44348</c:v>
                </c:pt>
                <c:pt idx="608">
                  <c:v>44349</c:v>
                </c:pt>
                <c:pt idx="609">
                  <c:v>44350</c:v>
                </c:pt>
                <c:pt idx="610">
                  <c:v>44351</c:v>
                </c:pt>
                <c:pt idx="611">
                  <c:v>44354</c:v>
                </c:pt>
                <c:pt idx="612">
                  <c:v>44355</c:v>
                </c:pt>
                <c:pt idx="613">
                  <c:v>44356</c:v>
                </c:pt>
                <c:pt idx="614">
                  <c:v>44357</c:v>
                </c:pt>
                <c:pt idx="615">
                  <c:v>44358</c:v>
                </c:pt>
                <c:pt idx="616">
                  <c:v>44361</c:v>
                </c:pt>
                <c:pt idx="617">
                  <c:v>44362</c:v>
                </c:pt>
                <c:pt idx="618">
                  <c:v>44363</c:v>
                </c:pt>
                <c:pt idx="619">
                  <c:v>44364</c:v>
                </c:pt>
                <c:pt idx="620">
                  <c:v>44365</c:v>
                </c:pt>
                <c:pt idx="621">
                  <c:v>44368</c:v>
                </c:pt>
                <c:pt idx="622">
                  <c:v>44369</c:v>
                </c:pt>
                <c:pt idx="623">
                  <c:v>44370</c:v>
                </c:pt>
                <c:pt idx="624">
                  <c:v>44371</c:v>
                </c:pt>
                <c:pt idx="625">
                  <c:v>44372</c:v>
                </c:pt>
                <c:pt idx="626">
                  <c:v>44375</c:v>
                </c:pt>
                <c:pt idx="627">
                  <c:v>44376</c:v>
                </c:pt>
                <c:pt idx="628">
                  <c:v>44377</c:v>
                </c:pt>
                <c:pt idx="629">
                  <c:v>44378</c:v>
                </c:pt>
                <c:pt idx="630">
                  <c:v>44379</c:v>
                </c:pt>
                <c:pt idx="631">
                  <c:v>44383</c:v>
                </c:pt>
                <c:pt idx="632">
                  <c:v>44384</c:v>
                </c:pt>
                <c:pt idx="633">
                  <c:v>44385</c:v>
                </c:pt>
                <c:pt idx="634">
                  <c:v>44386</c:v>
                </c:pt>
                <c:pt idx="635">
                  <c:v>44389</c:v>
                </c:pt>
                <c:pt idx="636">
                  <c:v>44390</c:v>
                </c:pt>
                <c:pt idx="637">
                  <c:v>44391</c:v>
                </c:pt>
                <c:pt idx="638">
                  <c:v>44392</c:v>
                </c:pt>
                <c:pt idx="639">
                  <c:v>44393</c:v>
                </c:pt>
                <c:pt idx="640">
                  <c:v>44396</c:v>
                </c:pt>
                <c:pt idx="641">
                  <c:v>44397</c:v>
                </c:pt>
                <c:pt idx="642">
                  <c:v>44398</c:v>
                </c:pt>
                <c:pt idx="643">
                  <c:v>44399</c:v>
                </c:pt>
                <c:pt idx="644">
                  <c:v>44400</c:v>
                </c:pt>
                <c:pt idx="645">
                  <c:v>44403</c:v>
                </c:pt>
                <c:pt idx="646">
                  <c:v>44404</c:v>
                </c:pt>
                <c:pt idx="647">
                  <c:v>44405</c:v>
                </c:pt>
                <c:pt idx="648">
                  <c:v>44406</c:v>
                </c:pt>
                <c:pt idx="649">
                  <c:v>44407</c:v>
                </c:pt>
                <c:pt idx="650">
                  <c:v>44410</c:v>
                </c:pt>
                <c:pt idx="651">
                  <c:v>44411</c:v>
                </c:pt>
                <c:pt idx="652">
                  <c:v>44412</c:v>
                </c:pt>
                <c:pt idx="653">
                  <c:v>44413</c:v>
                </c:pt>
                <c:pt idx="654">
                  <c:v>44414</c:v>
                </c:pt>
                <c:pt idx="655">
                  <c:v>44417</c:v>
                </c:pt>
                <c:pt idx="656">
                  <c:v>44418</c:v>
                </c:pt>
                <c:pt idx="657">
                  <c:v>44419</c:v>
                </c:pt>
                <c:pt idx="658">
                  <c:v>44420</c:v>
                </c:pt>
                <c:pt idx="659">
                  <c:v>44421</c:v>
                </c:pt>
                <c:pt idx="660">
                  <c:v>44424</c:v>
                </c:pt>
                <c:pt idx="661">
                  <c:v>44425</c:v>
                </c:pt>
                <c:pt idx="662">
                  <c:v>44426</c:v>
                </c:pt>
                <c:pt idx="663">
                  <c:v>44427</c:v>
                </c:pt>
                <c:pt idx="664">
                  <c:v>44428</c:v>
                </c:pt>
                <c:pt idx="665">
                  <c:v>44431</c:v>
                </c:pt>
                <c:pt idx="666">
                  <c:v>44432</c:v>
                </c:pt>
                <c:pt idx="667">
                  <c:v>44433</c:v>
                </c:pt>
                <c:pt idx="668">
                  <c:v>44434</c:v>
                </c:pt>
                <c:pt idx="669">
                  <c:v>44435</c:v>
                </c:pt>
                <c:pt idx="670">
                  <c:v>44438</c:v>
                </c:pt>
                <c:pt idx="671">
                  <c:v>44439</c:v>
                </c:pt>
                <c:pt idx="672">
                  <c:v>44440</c:v>
                </c:pt>
                <c:pt idx="673">
                  <c:v>44441</c:v>
                </c:pt>
                <c:pt idx="674">
                  <c:v>44442</c:v>
                </c:pt>
                <c:pt idx="675">
                  <c:v>44446</c:v>
                </c:pt>
                <c:pt idx="676">
                  <c:v>44447</c:v>
                </c:pt>
                <c:pt idx="677">
                  <c:v>44448</c:v>
                </c:pt>
                <c:pt idx="678">
                  <c:v>44449</c:v>
                </c:pt>
                <c:pt idx="679">
                  <c:v>44452</c:v>
                </c:pt>
                <c:pt idx="680">
                  <c:v>44453</c:v>
                </c:pt>
                <c:pt idx="681">
                  <c:v>44454</c:v>
                </c:pt>
                <c:pt idx="682">
                  <c:v>44455</c:v>
                </c:pt>
                <c:pt idx="683">
                  <c:v>44456</c:v>
                </c:pt>
                <c:pt idx="684">
                  <c:v>44459</c:v>
                </c:pt>
                <c:pt idx="685">
                  <c:v>44460</c:v>
                </c:pt>
                <c:pt idx="686">
                  <c:v>44461</c:v>
                </c:pt>
                <c:pt idx="687">
                  <c:v>44462</c:v>
                </c:pt>
                <c:pt idx="688">
                  <c:v>44463</c:v>
                </c:pt>
                <c:pt idx="689">
                  <c:v>44466</c:v>
                </c:pt>
                <c:pt idx="690">
                  <c:v>44467</c:v>
                </c:pt>
                <c:pt idx="691">
                  <c:v>44468</c:v>
                </c:pt>
                <c:pt idx="692">
                  <c:v>44469</c:v>
                </c:pt>
                <c:pt idx="693">
                  <c:v>44470</c:v>
                </c:pt>
                <c:pt idx="694">
                  <c:v>44473</c:v>
                </c:pt>
                <c:pt idx="695">
                  <c:v>44474</c:v>
                </c:pt>
                <c:pt idx="696">
                  <c:v>44475</c:v>
                </c:pt>
                <c:pt idx="697">
                  <c:v>44476</c:v>
                </c:pt>
                <c:pt idx="698">
                  <c:v>44477</c:v>
                </c:pt>
                <c:pt idx="699">
                  <c:v>44480</c:v>
                </c:pt>
                <c:pt idx="700">
                  <c:v>44481</c:v>
                </c:pt>
                <c:pt idx="701">
                  <c:v>44482</c:v>
                </c:pt>
                <c:pt idx="702">
                  <c:v>44483</c:v>
                </c:pt>
                <c:pt idx="703">
                  <c:v>44484</c:v>
                </c:pt>
                <c:pt idx="704">
                  <c:v>44487</c:v>
                </c:pt>
                <c:pt idx="705">
                  <c:v>44488</c:v>
                </c:pt>
                <c:pt idx="706">
                  <c:v>44489</c:v>
                </c:pt>
                <c:pt idx="707">
                  <c:v>44490</c:v>
                </c:pt>
                <c:pt idx="708">
                  <c:v>44491</c:v>
                </c:pt>
                <c:pt idx="709">
                  <c:v>44494</c:v>
                </c:pt>
                <c:pt idx="710">
                  <c:v>44495</c:v>
                </c:pt>
                <c:pt idx="711">
                  <c:v>44496</c:v>
                </c:pt>
                <c:pt idx="712">
                  <c:v>44497</c:v>
                </c:pt>
                <c:pt idx="713">
                  <c:v>44498</c:v>
                </c:pt>
                <c:pt idx="714">
                  <c:v>44501</c:v>
                </c:pt>
                <c:pt idx="715">
                  <c:v>44502</c:v>
                </c:pt>
                <c:pt idx="716">
                  <c:v>44503</c:v>
                </c:pt>
                <c:pt idx="717">
                  <c:v>44504</c:v>
                </c:pt>
                <c:pt idx="718">
                  <c:v>44505</c:v>
                </c:pt>
                <c:pt idx="719">
                  <c:v>44508</c:v>
                </c:pt>
                <c:pt idx="720">
                  <c:v>44509</c:v>
                </c:pt>
                <c:pt idx="721">
                  <c:v>44510</c:v>
                </c:pt>
                <c:pt idx="722">
                  <c:v>44511</c:v>
                </c:pt>
                <c:pt idx="723">
                  <c:v>44512</c:v>
                </c:pt>
                <c:pt idx="724">
                  <c:v>44515</c:v>
                </c:pt>
                <c:pt idx="725">
                  <c:v>44516</c:v>
                </c:pt>
                <c:pt idx="726">
                  <c:v>44517</c:v>
                </c:pt>
                <c:pt idx="727">
                  <c:v>44518</c:v>
                </c:pt>
                <c:pt idx="728">
                  <c:v>44519</c:v>
                </c:pt>
                <c:pt idx="729">
                  <c:v>44522</c:v>
                </c:pt>
                <c:pt idx="730">
                  <c:v>44523</c:v>
                </c:pt>
                <c:pt idx="731">
                  <c:v>44524</c:v>
                </c:pt>
                <c:pt idx="732">
                  <c:v>44526</c:v>
                </c:pt>
                <c:pt idx="733">
                  <c:v>44529</c:v>
                </c:pt>
                <c:pt idx="734">
                  <c:v>44530</c:v>
                </c:pt>
                <c:pt idx="735">
                  <c:v>44531</c:v>
                </c:pt>
                <c:pt idx="736">
                  <c:v>44532</c:v>
                </c:pt>
                <c:pt idx="737">
                  <c:v>44533</c:v>
                </c:pt>
                <c:pt idx="738">
                  <c:v>44536</c:v>
                </c:pt>
                <c:pt idx="739">
                  <c:v>44537</c:v>
                </c:pt>
                <c:pt idx="740">
                  <c:v>44538</c:v>
                </c:pt>
                <c:pt idx="741">
                  <c:v>44539</c:v>
                </c:pt>
                <c:pt idx="742">
                  <c:v>44540</c:v>
                </c:pt>
                <c:pt idx="743">
                  <c:v>44543</c:v>
                </c:pt>
                <c:pt idx="744">
                  <c:v>44544</c:v>
                </c:pt>
                <c:pt idx="745">
                  <c:v>44545</c:v>
                </c:pt>
                <c:pt idx="746">
                  <c:v>44546</c:v>
                </c:pt>
                <c:pt idx="747">
                  <c:v>44547</c:v>
                </c:pt>
                <c:pt idx="748">
                  <c:v>44550</c:v>
                </c:pt>
                <c:pt idx="749">
                  <c:v>44551</c:v>
                </c:pt>
                <c:pt idx="750">
                  <c:v>44552</c:v>
                </c:pt>
                <c:pt idx="751">
                  <c:v>44553</c:v>
                </c:pt>
                <c:pt idx="752">
                  <c:v>44557</c:v>
                </c:pt>
                <c:pt idx="753">
                  <c:v>44558</c:v>
                </c:pt>
                <c:pt idx="754">
                  <c:v>44559</c:v>
                </c:pt>
                <c:pt idx="755">
                  <c:v>44560</c:v>
                </c:pt>
                <c:pt idx="756">
                  <c:v>44561</c:v>
                </c:pt>
                <c:pt idx="757">
                  <c:v>44564</c:v>
                </c:pt>
                <c:pt idx="758">
                  <c:v>44565</c:v>
                </c:pt>
                <c:pt idx="759">
                  <c:v>44566</c:v>
                </c:pt>
                <c:pt idx="760">
                  <c:v>44567</c:v>
                </c:pt>
                <c:pt idx="761">
                  <c:v>44568</c:v>
                </c:pt>
                <c:pt idx="762">
                  <c:v>44571</c:v>
                </c:pt>
                <c:pt idx="763">
                  <c:v>44572</c:v>
                </c:pt>
                <c:pt idx="764">
                  <c:v>44573</c:v>
                </c:pt>
                <c:pt idx="765">
                  <c:v>44574</c:v>
                </c:pt>
                <c:pt idx="766">
                  <c:v>44575</c:v>
                </c:pt>
                <c:pt idx="767">
                  <c:v>44579</c:v>
                </c:pt>
                <c:pt idx="768">
                  <c:v>44580</c:v>
                </c:pt>
                <c:pt idx="769">
                  <c:v>44581</c:v>
                </c:pt>
                <c:pt idx="770">
                  <c:v>44582</c:v>
                </c:pt>
                <c:pt idx="771">
                  <c:v>44585</c:v>
                </c:pt>
                <c:pt idx="772">
                  <c:v>44586</c:v>
                </c:pt>
                <c:pt idx="773">
                  <c:v>44587</c:v>
                </c:pt>
                <c:pt idx="774">
                  <c:v>44588</c:v>
                </c:pt>
                <c:pt idx="775">
                  <c:v>44589</c:v>
                </c:pt>
                <c:pt idx="776">
                  <c:v>44592</c:v>
                </c:pt>
                <c:pt idx="777">
                  <c:v>44593</c:v>
                </c:pt>
                <c:pt idx="778">
                  <c:v>44594</c:v>
                </c:pt>
                <c:pt idx="779">
                  <c:v>44595</c:v>
                </c:pt>
                <c:pt idx="780">
                  <c:v>44596</c:v>
                </c:pt>
                <c:pt idx="781">
                  <c:v>44599</c:v>
                </c:pt>
                <c:pt idx="782">
                  <c:v>44600</c:v>
                </c:pt>
                <c:pt idx="783">
                  <c:v>44601</c:v>
                </c:pt>
                <c:pt idx="784">
                  <c:v>44602</c:v>
                </c:pt>
                <c:pt idx="785">
                  <c:v>44603</c:v>
                </c:pt>
                <c:pt idx="786">
                  <c:v>44606</c:v>
                </c:pt>
                <c:pt idx="787">
                  <c:v>44607</c:v>
                </c:pt>
                <c:pt idx="788">
                  <c:v>44608</c:v>
                </c:pt>
                <c:pt idx="789">
                  <c:v>44609</c:v>
                </c:pt>
                <c:pt idx="790">
                  <c:v>44610</c:v>
                </c:pt>
                <c:pt idx="791">
                  <c:v>44614</c:v>
                </c:pt>
                <c:pt idx="792">
                  <c:v>44615</c:v>
                </c:pt>
                <c:pt idx="793">
                  <c:v>44616</c:v>
                </c:pt>
                <c:pt idx="794">
                  <c:v>44617</c:v>
                </c:pt>
                <c:pt idx="795">
                  <c:v>44620</c:v>
                </c:pt>
                <c:pt idx="796">
                  <c:v>44621</c:v>
                </c:pt>
                <c:pt idx="797">
                  <c:v>44622</c:v>
                </c:pt>
                <c:pt idx="798">
                  <c:v>44623</c:v>
                </c:pt>
                <c:pt idx="799">
                  <c:v>44624</c:v>
                </c:pt>
                <c:pt idx="800">
                  <c:v>44627</c:v>
                </c:pt>
                <c:pt idx="801">
                  <c:v>44628</c:v>
                </c:pt>
                <c:pt idx="802">
                  <c:v>44629</c:v>
                </c:pt>
                <c:pt idx="803">
                  <c:v>44630</c:v>
                </c:pt>
                <c:pt idx="804">
                  <c:v>44631</c:v>
                </c:pt>
                <c:pt idx="805">
                  <c:v>44634</c:v>
                </c:pt>
                <c:pt idx="806">
                  <c:v>44635</c:v>
                </c:pt>
                <c:pt idx="807">
                  <c:v>44636</c:v>
                </c:pt>
                <c:pt idx="808">
                  <c:v>44637</c:v>
                </c:pt>
                <c:pt idx="809">
                  <c:v>44638</c:v>
                </c:pt>
                <c:pt idx="810">
                  <c:v>44641</c:v>
                </c:pt>
                <c:pt idx="811">
                  <c:v>44642</c:v>
                </c:pt>
                <c:pt idx="812">
                  <c:v>44643</c:v>
                </c:pt>
                <c:pt idx="813">
                  <c:v>44644</c:v>
                </c:pt>
                <c:pt idx="814">
                  <c:v>44645</c:v>
                </c:pt>
                <c:pt idx="815">
                  <c:v>44648</c:v>
                </c:pt>
                <c:pt idx="816">
                  <c:v>44649</c:v>
                </c:pt>
                <c:pt idx="817">
                  <c:v>44650</c:v>
                </c:pt>
                <c:pt idx="818">
                  <c:v>44651</c:v>
                </c:pt>
                <c:pt idx="819">
                  <c:v>44652</c:v>
                </c:pt>
                <c:pt idx="820">
                  <c:v>44655</c:v>
                </c:pt>
                <c:pt idx="821">
                  <c:v>44656</c:v>
                </c:pt>
                <c:pt idx="822">
                  <c:v>44657</c:v>
                </c:pt>
                <c:pt idx="823">
                  <c:v>44658</c:v>
                </c:pt>
                <c:pt idx="824">
                  <c:v>44659</c:v>
                </c:pt>
                <c:pt idx="825">
                  <c:v>44662</c:v>
                </c:pt>
                <c:pt idx="826">
                  <c:v>44663</c:v>
                </c:pt>
                <c:pt idx="827">
                  <c:v>44664</c:v>
                </c:pt>
                <c:pt idx="828">
                  <c:v>44665</c:v>
                </c:pt>
                <c:pt idx="829">
                  <c:v>44669</c:v>
                </c:pt>
                <c:pt idx="830">
                  <c:v>44670</c:v>
                </c:pt>
                <c:pt idx="831">
                  <c:v>44671</c:v>
                </c:pt>
                <c:pt idx="832">
                  <c:v>44672</c:v>
                </c:pt>
                <c:pt idx="833">
                  <c:v>44673</c:v>
                </c:pt>
                <c:pt idx="834">
                  <c:v>44676</c:v>
                </c:pt>
                <c:pt idx="835">
                  <c:v>44677</c:v>
                </c:pt>
                <c:pt idx="836">
                  <c:v>44678</c:v>
                </c:pt>
                <c:pt idx="837">
                  <c:v>44679</c:v>
                </c:pt>
                <c:pt idx="838">
                  <c:v>44680</c:v>
                </c:pt>
                <c:pt idx="839">
                  <c:v>44683</c:v>
                </c:pt>
                <c:pt idx="840">
                  <c:v>44684</c:v>
                </c:pt>
                <c:pt idx="841">
                  <c:v>44685</c:v>
                </c:pt>
                <c:pt idx="842">
                  <c:v>44686</c:v>
                </c:pt>
                <c:pt idx="843">
                  <c:v>44687</c:v>
                </c:pt>
                <c:pt idx="844">
                  <c:v>44690</c:v>
                </c:pt>
                <c:pt idx="845">
                  <c:v>44691</c:v>
                </c:pt>
                <c:pt idx="846">
                  <c:v>44692</c:v>
                </c:pt>
                <c:pt idx="847">
                  <c:v>44693</c:v>
                </c:pt>
                <c:pt idx="848">
                  <c:v>44694</c:v>
                </c:pt>
                <c:pt idx="849">
                  <c:v>44697</c:v>
                </c:pt>
                <c:pt idx="850">
                  <c:v>44698</c:v>
                </c:pt>
                <c:pt idx="851">
                  <c:v>44699</c:v>
                </c:pt>
                <c:pt idx="852">
                  <c:v>44700</c:v>
                </c:pt>
                <c:pt idx="853">
                  <c:v>44701</c:v>
                </c:pt>
                <c:pt idx="854">
                  <c:v>44704</c:v>
                </c:pt>
                <c:pt idx="855">
                  <c:v>44705</c:v>
                </c:pt>
                <c:pt idx="856">
                  <c:v>44706</c:v>
                </c:pt>
                <c:pt idx="857">
                  <c:v>44707</c:v>
                </c:pt>
                <c:pt idx="858">
                  <c:v>44708</c:v>
                </c:pt>
                <c:pt idx="859">
                  <c:v>44712</c:v>
                </c:pt>
                <c:pt idx="860">
                  <c:v>44713</c:v>
                </c:pt>
                <c:pt idx="861">
                  <c:v>44714</c:v>
                </c:pt>
                <c:pt idx="862">
                  <c:v>44715</c:v>
                </c:pt>
                <c:pt idx="863">
                  <c:v>44718</c:v>
                </c:pt>
                <c:pt idx="864">
                  <c:v>44719</c:v>
                </c:pt>
                <c:pt idx="865">
                  <c:v>44720</c:v>
                </c:pt>
                <c:pt idx="866">
                  <c:v>44721</c:v>
                </c:pt>
                <c:pt idx="867">
                  <c:v>44722</c:v>
                </c:pt>
                <c:pt idx="868">
                  <c:v>44725</c:v>
                </c:pt>
                <c:pt idx="869">
                  <c:v>44726</c:v>
                </c:pt>
                <c:pt idx="870">
                  <c:v>44727</c:v>
                </c:pt>
                <c:pt idx="871">
                  <c:v>44728</c:v>
                </c:pt>
                <c:pt idx="872">
                  <c:v>44729</c:v>
                </c:pt>
                <c:pt idx="873">
                  <c:v>44733</c:v>
                </c:pt>
                <c:pt idx="874">
                  <c:v>44734</c:v>
                </c:pt>
                <c:pt idx="875">
                  <c:v>44735</c:v>
                </c:pt>
                <c:pt idx="876">
                  <c:v>44736</c:v>
                </c:pt>
                <c:pt idx="877">
                  <c:v>44739</c:v>
                </c:pt>
                <c:pt idx="878">
                  <c:v>44740</c:v>
                </c:pt>
                <c:pt idx="879">
                  <c:v>44741</c:v>
                </c:pt>
                <c:pt idx="880">
                  <c:v>44742</c:v>
                </c:pt>
                <c:pt idx="881">
                  <c:v>44743</c:v>
                </c:pt>
                <c:pt idx="882">
                  <c:v>44747</c:v>
                </c:pt>
                <c:pt idx="883">
                  <c:v>44748</c:v>
                </c:pt>
                <c:pt idx="884">
                  <c:v>44749</c:v>
                </c:pt>
                <c:pt idx="885">
                  <c:v>44750</c:v>
                </c:pt>
                <c:pt idx="886">
                  <c:v>44753</c:v>
                </c:pt>
                <c:pt idx="887">
                  <c:v>44754</c:v>
                </c:pt>
                <c:pt idx="888">
                  <c:v>44755</c:v>
                </c:pt>
                <c:pt idx="889">
                  <c:v>44756</c:v>
                </c:pt>
                <c:pt idx="890">
                  <c:v>44757</c:v>
                </c:pt>
                <c:pt idx="891">
                  <c:v>44760</c:v>
                </c:pt>
                <c:pt idx="892">
                  <c:v>44761</c:v>
                </c:pt>
                <c:pt idx="893">
                  <c:v>44762</c:v>
                </c:pt>
                <c:pt idx="894">
                  <c:v>44763</c:v>
                </c:pt>
                <c:pt idx="895">
                  <c:v>44764</c:v>
                </c:pt>
                <c:pt idx="896">
                  <c:v>44767</c:v>
                </c:pt>
                <c:pt idx="897">
                  <c:v>44768</c:v>
                </c:pt>
                <c:pt idx="898">
                  <c:v>44769</c:v>
                </c:pt>
                <c:pt idx="899">
                  <c:v>44770</c:v>
                </c:pt>
                <c:pt idx="900">
                  <c:v>44771</c:v>
                </c:pt>
                <c:pt idx="901">
                  <c:v>44774</c:v>
                </c:pt>
                <c:pt idx="902">
                  <c:v>44775</c:v>
                </c:pt>
                <c:pt idx="903">
                  <c:v>44776</c:v>
                </c:pt>
                <c:pt idx="904">
                  <c:v>44777</c:v>
                </c:pt>
                <c:pt idx="905">
                  <c:v>44778</c:v>
                </c:pt>
                <c:pt idx="906">
                  <c:v>44781</c:v>
                </c:pt>
                <c:pt idx="907">
                  <c:v>44782</c:v>
                </c:pt>
                <c:pt idx="908">
                  <c:v>44783</c:v>
                </c:pt>
                <c:pt idx="909">
                  <c:v>44784</c:v>
                </c:pt>
                <c:pt idx="910">
                  <c:v>44785</c:v>
                </c:pt>
                <c:pt idx="911">
                  <c:v>44788</c:v>
                </c:pt>
                <c:pt idx="912">
                  <c:v>44789</c:v>
                </c:pt>
                <c:pt idx="913">
                  <c:v>44790</c:v>
                </c:pt>
                <c:pt idx="914">
                  <c:v>44791</c:v>
                </c:pt>
                <c:pt idx="915">
                  <c:v>44792</c:v>
                </c:pt>
                <c:pt idx="916">
                  <c:v>44795</c:v>
                </c:pt>
                <c:pt idx="917">
                  <c:v>44796</c:v>
                </c:pt>
                <c:pt idx="918">
                  <c:v>44797</c:v>
                </c:pt>
                <c:pt idx="919">
                  <c:v>44798</c:v>
                </c:pt>
                <c:pt idx="920">
                  <c:v>44799</c:v>
                </c:pt>
                <c:pt idx="921">
                  <c:v>44802</c:v>
                </c:pt>
                <c:pt idx="922">
                  <c:v>44803</c:v>
                </c:pt>
                <c:pt idx="923">
                  <c:v>44804</c:v>
                </c:pt>
                <c:pt idx="924">
                  <c:v>44805</c:v>
                </c:pt>
                <c:pt idx="925">
                  <c:v>44806</c:v>
                </c:pt>
                <c:pt idx="926">
                  <c:v>44810</c:v>
                </c:pt>
                <c:pt idx="927">
                  <c:v>44811</c:v>
                </c:pt>
                <c:pt idx="928">
                  <c:v>44812</c:v>
                </c:pt>
                <c:pt idx="929">
                  <c:v>44813</c:v>
                </c:pt>
                <c:pt idx="930">
                  <c:v>44816</c:v>
                </c:pt>
                <c:pt idx="931">
                  <c:v>44817</c:v>
                </c:pt>
                <c:pt idx="932">
                  <c:v>44818</c:v>
                </c:pt>
                <c:pt idx="933">
                  <c:v>44819</c:v>
                </c:pt>
                <c:pt idx="934">
                  <c:v>44820</c:v>
                </c:pt>
                <c:pt idx="935">
                  <c:v>44823</c:v>
                </c:pt>
                <c:pt idx="936">
                  <c:v>44824</c:v>
                </c:pt>
                <c:pt idx="937">
                  <c:v>44825</c:v>
                </c:pt>
                <c:pt idx="938">
                  <c:v>44826</c:v>
                </c:pt>
                <c:pt idx="939">
                  <c:v>44827</c:v>
                </c:pt>
                <c:pt idx="940">
                  <c:v>44830</c:v>
                </c:pt>
                <c:pt idx="941">
                  <c:v>44831</c:v>
                </c:pt>
                <c:pt idx="942">
                  <c:v>44832</c:v>
                </c:pt>
                <c:pt idx="943">
                  <c:v>44833</c:v>
                </c:pt>
                <c:pt idx="944">
                  <c:v>44834</c:v>
                </c:pt>
                <c:pt idx="945">
                  <c:v>44837</c:v>
                </c:pt>
                <c:pt idx="946">
                  <c:v>44838</c:v>
                </c:pt>
                <c:pt idx="947">
                  <c:v>44839</c:v>
                </c:pt>
                <c:pt idx="948">
                  <c:v>44840</c:v>
                </c:pt>
                <c:pt idx="949">
                  <c:v>44841</c:v>
                </c:pt>
                <c:pt idx="950">
                  <c:v>44844</c:v>
                </c:pt>
                <c:pt idx="951">
                  <c:v>44845</c:v>
                </c:pt>
                <c:pt idx="952">
                  <c:v>44846</c:v>
                </c:pt>
                <c:pt idx="953">
                  <c:v>44847</c:v>
                </c:pt>
                <c:pt idx="954">
                  <c:v>44848</c:v>
                </c:pt>
                <c:pt idx="955">
                  <c:v>44851</c:v>
                </c:pt>
                <c:pt idx="956">
                  <c:v>44852</c:v>
                </c:pt>
                <c:pt idx="957">
                  <c:v>44853</c:v>
                </c:pt>
                <c:pt idx="958">
                  <c:v>44854</c:v>
                </c:pt>
                <c:pt idx="959">
                  <c:v>44855</c:v>
                </c:pt>
                <c:pt idx="960">
                  <c:v>44858</c:v>
                </c:pt>
                <c:pt idx="961">
                  <c:v>44859</c:v>
                </c:pt>
                <c:pt idx="962">
                  <c:v>44860</c:v>
                </c:pt>
                <c:pt idx="963">
                  <c:v>44861</c:v>
                </c:pt>
                <c:pt idx="964">
                  <c:v>44862</c:v>
                </c:pt>
                <c:pt idx="965">
                  <c:v>44865</c:v>
                </c:pt>
                <c:pt idx="966">
                  <c:v>44866</c:v>
                </c:pt>
                <c:pt idx="967">
                  <c:v>44867</c:v>
                </c:pt>
                <c:pt idx="968">
                  <c:v>44868</c:v>
                </c:pt>
                <c:pt idx="969">
                  <c:v>44869</c:v>
                </c:pt>
                <c:pt idx="970">
                  <c:v>44872</c:v>
                </c:pt>
                <c:pt idx="971">
                  <c:v>44873</c:v>
                </c:pt>
                <c:pt idx="972">
                  <c:v>44874</c:v>
                </c:pt>
                <c:pt idx="973">
                  <c:v>44875</c:v>
                </c:pt>
                <c:pt idx="974">
                  <c:v>44876</c:v>
                </c:pt>
                <c:pt idx="975">
                  <c:v>44879</c:v>
                </c:pt>
                <c:pt idx="976">
                  <c:v>44880</c:v>
                </c:pt>
                <c:pt idx="977">
                  <c:v>44881</c:v>
                </c:pt>
                <c:pt idx="978">
                  <c:v>44882</c:v>
                </c:pt>
                <c:pt idx="979">
                  <c:v>44883</c:v>
                </c:pt>
                <c:pt idx="980">
                  <c:v>44886</c:v>
                </c:pt>
                <c:pt idx="981">
                  <c:v>44887</c:v>
                </c:pt>
                <c:pt idx="982">
                  <c:v>44888</c:v>
                </c:pt>
                <c:pt idx="983">
                  <c:v>44890</c:v>
                </c:pt>
                <c:pt idx="984">
                  <c:v>44893</c:v>
                </c:pt>
                <c:pt idx="985">
                  <c:v>44894</c:v>
                </c:pt>
                <c:pt idx="986">
                  <c:v>44895</c:v>
                </c:pt>
                <c:pt idx="987">
                  <c:v>44896</c:v>
                </c:pt>
                <c:pt idx="988">
                  <c:v>44897</c:v>
                </c:pt>
                <c:pt idx="989">
                  <c:v>44900</c:v>
                </c:pt>
                <c:pt idx="990">
                  <c:v>44901</c:v>
                </c:pt>
                <c:pt idx="991">
                  <c:v>44902</c:v>
                </c:pt>
                <c:pt idx="992">
                  <c:v>44903</c:v>
                </c:pt>
                <c:pt idx="993">
                  <c:v>44904</c:v>
                </c:pt>
                <c:pt idx="994">
                  <c:v>44907</c:v>
                </c:pt>
                <c:pt idx="995">
                  <c:v>44908</c:v>
                </c:pt>
                <c:pt idx="996">
                  <c:v>44909</c:v>
                </c:pt>
                <c:pt idx="997">
                  <c:v>44910</c:v>
                </c:pt>
                <c:pt idx="998">
                  <c:v>44911</c:v>
                </c:pt>
                <c:pt idx="999">
                  <c:v>44914</c:v>
                </c:pt>
                <c:pt idx="1000">
                  <c:v>44915</c:v>
                </c:pt>
                <c:pt idx="1001">
                  <c:v>44916</c:v>
                </c:pt>
                <c:pt idx="1002">
                  <c:v>44917</c:v>
                </c:pt>
                <c:pt idx="1003">
                  <c:v>44918</c:v>
                </c:pt>
                <c:pt idx="1004">
                  <c:v>44922</c:v>
                </c:pt>
              </c:numCache>
            </c:numRef>
          </c:cat>
          <c:val>
            <c:numRef>
              <c:f>META!$H$2:$H$1006</c:f>
              <c:numCache>
                <c:formatCode>0.00%</c:formatCode>
                <c:ptCount val="1005"/>
                <c:pt idx="0">
                  <c:v>0</c:v>
                </c:pt>
                <c:pt idx="1">
                  <c:v>-2.9038828149114071E-2</c:v>
                </c:pt>
                <c:pt idx="2">
                  <c:v>4.7138240202738713E-2</c:v>
                </c:pt>
                <c:pt idx="3">
                  <c:v>7.249438359901994E-4</c:v>
                </c:pt>
                <c:pt idx="4">
                  <c:v>3.2451980461021712E-2</c:v>
                </c:pt>
                <c:pt idx="5">
                  <c:v>1.1927292583507221E-2</c:v>
                </c:pt>
                <c:pt idx="6">
                  <c:v>-2.0799418173733653E-4</c:v>
                </c:pt>
                <c:pt idx="7">
                  <c:v>-2.7738835528546835E-3</c:v>
                </c:pt>
                <c:pt idx="8">
                  <c:v>1.1056995596863795E-2</c:v>
                </c:pt>
                <c:pt idx="9">
                  <c:v>2.448585201517206E-2</c:v>
                </c:pt>
                <c:pt idx="10">
                  <c:v>-9.4662908922380495E-3</c:v>
                </c:pt>
                <c:pt idx="11">
                  <c:v>5.1512134747084826E-3</c:v>
                </c:pt>
                <c:pt idx="12">
                  <c:v>1.1732906033724122E-2</c:v>
                </c:pt>
                <c:pt idx="13">
                  <c:v>-1.6462184185785711E-2</c:v>
                </c:pt>
                <c:pt idx="14">
                  <c:v>-2.2159001456169891E-2</c:v>
                </c:pt>
                <c:pt idx="15">
                  <c:v>1.0602903452469059E-2</c:v>
                </c:pt>
                <c:pt idx="16">
                  <c:v>2.1806164413273432E-2</c:v>
                </c:pt>
                <c:pt idx="17">
                  <c:v>-1.0334836934931868E-2</c:v>
                </c:pt>
                <c:pt idx="18">
                  <c:v>-2.2241804962081724E-2</c:v>
                </c:pt>
                <c:pt idx="19">
                  <c:v>4.3206851470880769E-2</c:v>
                </c:pt>
                <c:pt idx="20">
                  <c:v>0.10816383603462087</c:v>
                </c:pt>
                <c:pt idx="21">
                  <c:v>-5.8791468488914589E-3</c:v>
                </c:pt>
                <c:pt idx="22">
                  <c:v>2.1362578302226654E-2</c:v>
                </c:pt>
                <c:pt idx="23">
                  <c:v>1.1285104874446006E-2</c:v>
                </c:pt>
                <c:pt idx="24">
                  <c:v>-3.9144600627608606E-3</c:v>
                </c:pt>
                <c:pt idx="25">
                  <c:v>-2.4106985039973328E-2</c:v>
                </c:pt>
                <c:pt idx="26">
                  <c:v>5.7098026893316334E-3</c:v>
                </c:pt>
                <c:pt idx="27">
                  <c:v>-9.2034242610000705E-3</c:v>
                </c:pt>
                <c:pt idx="28">
                  <c:v>-4.5237953535591791E-3</c:v>
                </c:pt>
                <c:pt idx="29">
                  <c:v>-5.8772784848579729E-3</c:v>
                </c:pt>
                <c:pt idx="30">
                  <c:v>-7.3145605460966934E-4</c:v>
                </c:pt>
                <c:pt idx="31">
                  <c:v>-8.8441416683893159E-3</c:v>
                </c:pt>
                <c:pt idx="32">
                  <c:v>-1.2923507692307323E-3</c:v>
                </c:pt>
                <c:pt idx="33">
                  <c:v>1.6637193397377459E-3</c:v>
                </c:pt>
                <c:pt idx="34">
                  <c:v>-1.5501999452534387E-2</c:v>
                </c:pt>
                <c:pt idx="35">
                  <c:v>1.1559648093711017E-2</c:v>
                </c:pt>
                <c:pt idx="36">
                  <c:v>1.6863277638293095E-2</c:v>
                </c:pt>
                <c:pt idx="37">
                  <c:v>-2.9764914037324619E-3</c:v>
                </c:pt>
                <c:pt idx="38">
                  <c:v>-8.0424478144627276E-3</c:v>
                </c:pt>
                <c:pt idx="39">
                  <c:v>-8.3533014968774078E-3</c:v>
                </c:pt>
                <c:pt idx="40">
                  <c:v>5.1409229818690783E-3</c:v>
                </c:pt>
                <c:pt idx="41">
                  <c:v>3.1365516584702435E-2</c:v>
                </c:pt>
                <c:pt idx="42">
                  <c:v>2.3241919795719657E-2</c:v>
                </c:pt>
                <c:pt idx="43">
                  <c:v>7.2988440762244977E-3</c:v>
                </c:pt>
                <c:pt idx="44">
                  <c:v>-1.9593009668802064E-2</c:v>
                </c:pt>
                <c:pt idx="45">
                  <c:v>2.7789332827135027E-3</c:v>
                </c:pt>
                <c:pt idx="46">
                  <c:v>1.4563684626284656E-2</c:v>
                </c:pt>
                <c:pt idx="47">
                  <c:v>-8.7179051489205683E-4</c:v>
                </c:pt>
                <c:pt idx="48">
                  <c:v>8.4341380692662948E-3</c:v>
                </c:pt>
                <c:pt idx="49">
                  <c:v>-1.8457617190333342E-2</c:v>
                </c:pt>
                <c:pt idx="50">
                  <c:v>-2.462244842948158E-2</c:v>
                </c:pt>
                <c:pt idx="51">
                  <c:v>-3.3196741371171012E-2</c:v>
                </c:pt>
                <c:pt idx="52">
                  <c:v>6.8549011849261543E-3</c:v>
                </c:pt>
                <c:pt idx="53">
                  <c:v>2.3952434439146852E-2</c:v>
                </c:pt>
                <c:pt idx="54">
                  <c:v>3.8684719068124984E-3</c:v>
                </c:pt>
                <c:pt idx="55">
                  <c:v>-1.0476914613717248E-2</c:v>
                </c:pt>
                <c:pt idx="56">
                  <c:v>1.18656264297341E-2</c:v>
                </c:pt>
                <c:pt idx="57">
                  <c:v>8.358891445740646E-3</c:v>
                </c:pt>
                <c:pt idx="58">
                  <c:v>-1.0794358752150068E-2</c:v>
                </c:pt>
                <c:pt idx="59">
                  <c:v>-1.9291735072397564E-3</c:v>
                </c:pt>
                <c:pt idx="60">
                  <c:v>6.886130953437597E-3</c:v>
                </c:pt>
                <c:pt idx="61">
                  <c:v>1.2058281695863204E-2</c:v>
                </c:pt>
                <c:pt idx="62">
                  <c:v>3.2602253099032419E-2</c:v>
                </c:pt>
                <c:pt idx="63">
                  <c:v>-3.7887715922290122E-3</c:v>
                </c:pt>
                <c:pt idx="64">
                  <c:v>1.4290717414054521E-2</c:v>
                </c:pt>
                <c:pt idx="65">
                  <c:v>-1.704368782993626E-3</c:v>
                </c:pt>
                <c:pt idx="66">
                  <c:v>-4.4958342562267939E-3</c:v>
                </c:pt>
                <c:pt idx="67">
                  <c:v>1.5148968764893356E-2</c:v>
                </c:pt>
                <c:pt idx="68">
                  <c:v>1.3515316887990902E-3</c:v>
                </c:pt>
                <c:pt idx="69">
                  <c:v>-1.7434033730523435E-3</c:v>
                </c:pt>
                <c:pt idx="70">
                  <c:v>8.957304066173899E-3</c:v>
                </c:pt>
                <c:pt idx="71">
                  <c:v>3.0708430015351507E-3</c:v>
                </c:pt>
                <c:pt idx="72">
                  <c:v>-4.3417702535520908E-3</c:v>
                </c:pt>
                <c:pt idx="73">
                  <c:v>-5.0313637007692869E-4</c:v>
                </c:pt>
                <c:pt idx="74">
                  <c:v>-2.7967334310142755E-3</c:v>
                </c:pt>
                <c:pt idx="75">
                  <c:v>1.7724944007880383E-2</c:v>
                </c:pt>
                <c:pt idx="76">
                  <c:v>1.2896808720273434E-2</c:v>
                </c:pt>
                <c:pt idx="77">
                  <c:v>-6.5295299082028802E-3</c:v>
                </c:pt>
                <c:pt idx="78">
                  <c:v>5.8494867362308467E-2</c:v>
                </c:pt>
                <c:pt idx="79">
                  <c:v>-9.1585948762961111E-3</c:v>
                </c:pt>
                <c:pt idx="80">
                  <c:v>1.7181022059088669E-2</c:v>
                </c:pt>
                <c:pt idx="81">
                  <c:v>-7.0849420222043324E-3</c:v>
                </c:pt>
                <c:pt idx="82">
                  <c:v>-1.9131076084727416E-3</c:v>
                </c:pt>
                <c:pt idx="83">
                  <c:v>-2.5902709557595882E-3</c:v>
                </c:pt>
                <c:pt idx="84">
                  <c:v>1.5270357945620594E-2</c:v>
                </c:pt>
                <c:pt idx="85">
                  <c:v>-8.13422004330977E-3</c:v>
                </c:pt>
                <c:pt idx="86">
                  <c:v>-2.1198684206759744E-2</c:v>
                </c:pt>
                <c:pt idx="87">
                  <c:v>-1.2120514051313647E-3</c:v>
                </c:pt>
                <c:pt idx="88">
                  <c:v>-4.6955736671363546E-3</c:v>
                </c:pt>
                <c:pt idx="89">
                  <c:v>-1.6432441550990884E-3</c:v>
                </c:pt>
                <c:pt idx="90">
                  <c:v>-3.6104933335561973E-2</c:v>
                </c:pt>
                <c:pt idx="91">
                  <c:v>-4.4618102414492045E-3</c:v>
                </c:pt>
                <c:pt idx="92">
                  <c:v>3.0653505907231926E-2</c:v>
                </c:pt>
                <c:pt idx="93">
                  <c:v>3.8653620257611543E-3</c:v>
                </c:pt>
                <c:pt idx="94">
                  <c:v>-9.0379269202115475E-3</c:v>
                </c:pt>
                <c:pt idx="95">
                  <c:v>-1.3923378080031745E-2</c:v>
                </c:pt>
                <c:pt idx="96">
                  <c:v>1.1493027520287802E-2</c:v>
                </c:pt>
                <c:pt idx="97">
                  <c:v>2.7053348179995051E-3</c:v>
                </c:pt>
                <c:pt idx="98">
                  <c:v>-2.40125827320955E-2</c:v>
                </c:pt>
                <c:pt idx="99">
                  <c:v>1.05049485958153E-3</c:v>
                </c:pt>
                <c:pt idx="100">
                  <c:v>1.7949851076437096E-2</c:v>
                </c:pt>
                <c:pt idx="101">
                  <c:v>-1.150233857633709E-2</c:v>
                </c:pt>
                <c:pt idx="102">
                  <c:v>4.500757401605382E-3</c:v>
                </c:pt>
                <c:pt idx="103">
                  <c:v>-3.0271537901522816E-2</c:v>
                </c:pt>
                <c:pt idx="104">
                  <c:v>-7.5054977883276197E-2</c:v>
                </c:pt>
                <c:pt idx="105">
                  <c:v>2.0408200563199586E-2</c:v>
                </c:pt>
                <c:pt idx="106">
                  <c:v>3.9999880597014759E-3</c:v>
                </c:pt>
                <c:pt idx="107">
                  <c:v>9.5144200453645134E-4</c:v>
                </c:pt>
                <c:pt idx="108">
                  <c:v>2.9822396128766249E-2</c:v>
                </c:pt>
                <c:pt idx="109">
                  <c:v>8.4799593257585126E-3</c:v>
                </c:pt>
                <c:pt idx="110">
                  <c:v>1.8762148888370689E-2</c:v>
                </c:pt>
                <c:pt idx="111">
                  <c:v>-1.7181431201074737E-2</c:v>
                </c:pt>
                <c:pt idx="112">
                  <c:v>1.3882587392470835E-2</c:v>
                </c:pt>
                <c:pt idx="113">
                  <c:v>2.1750160467965518E-2</c:v>
                </c:pt>
                <c:pt idx="114">
                  <c:v>4.2353680666699534E-2</c:v>
                </c:pt>
                <c:pt idx="115">
                  <c:v>-2.8569600247860816E-3</c:v>
                </c:pt>
                <c:pt idx="116">
                  <c:v>-5.2528518849002115E-3</c:v>
                </c:pt>
                <c:pt idx="117">
                  <c:v>1.0934515914967191E-2</c:v>
                </c:pt>
                <c:pt idx="118">
                  <c:v>8.4946974542008391E-3</c:v>
                </c:pt>
                <c:pt idx="119">
                  <c:v>7.6384169071803676E-3</c:v>
                </c:pt>
                <c:pt idx="120">
                  <c:v>-1.9522377377288347E-2</c:v>
                </c:pt>
                <c:pt idx="121">
                  <c:v>-6.248633896391409E-3</c:v>
                </c:pt>
                <c:pt idx="122">
                  <c:v>9.8049449045094494E-3</c:v>
                </c:pt>
                <c:pt idx="123">
                  <c:v>1.846965699208436E-2</c:v>
                </c:pt>
                <c:pt idx="124">
                  <c:v>0</c:v>
                </c:pt>
                <c:pt idx="125">
                  <c:v>1.0362694300518172E-2</c:v>
                </c:pt>
                <c:pt idx="126">
                  <c:v>1.1282035897435927E-2</c:v>
                </c:pt>
                <c:pt idx="127">
                  <c:v>-4.0568104065438204E-3</c:v>
                </c:pt>
                <c:pt idx="128">
                  <c:v>-3.2586508123823021E-3</c:v>
                </c:pt>
                <c:pt idx="129">
                  <c:v>1.7623682509799732E-2</c:v>
                </c:pt>
                <c:pt idx="130">
                  <c:v>1.7669739853982458E-2</c:v>
                </c:pt>
                <c:pt idx="131">
                  <c:v>-7.399003746835775E-3</c:v>
                </c:pt>
                <c:pt idx="132">
                  <c:v>1.8088749552029881E-2</c:v>
                </c:pt>
                <c:pt idx="133">
                  <c:v>-4.6858545586434541E-3</c:v>
                </c:pt>
                <c:pt idx="134">
                  <c:v>-3.4332793206148793E-4</c:v>
                </c:pt>
                <c:pt idx="135">
                  <c:v>-1.0007815149289945E-2</c:v>
                </c:pt>
                <c:pt idx="136">
                  <c:v>-5.0545291617265509E-3</c:v>
                </c:pt>
                <c:pt idx="137">
                  <c:v>-1.2052983424907793E-2</c:v>
                </c:pt>
                <c:pt idx="138">
                  <c:v>1.9963732506736553E-2</c:v>
                </c:pt>
                <c:pt idx="139">
                  <c:v>1.9767694057071239E-4</c:v>
                </c:pt>
                <c:pt idx="140">
                  <c:v>1.1365897354388643E-2</c:v>
                </c:pt>
                <c:pt idx="141">
                  <c:v>-1.9300287905789304E-2</c:v>
                </c:pt>
                <c:pt idx="142">
                  <c:v>-4.783054987387847E-3</c:v>
                </c:pt>
                <c:pt idx="143">
                  <c:v>-1.9073832290362969E-2</c:v>
                </c:pt>
                <c:pt idx="144">
                  <c:v>5.6139174684708415E-3</c:v>
                </c:pt>
                <c:pt idx="145">
                  <c:v>-1.4261049024702377E-2</c:v>
                </c:pt>
                <c:pt idx="146">
                  <c:v>-7.7228030216300869E-3</c:v>
                </c:pt>
                <c:pt idx="147">
                  <c:v>-1.9249686488863937E-2</c:v>
                </c:pt>
                <c:pt idx="148">
                  <c:v>-3.8567388878057551E-2</c:v>
                </c:pt>
                <c:pt idx="149">
                  <c:v>1.5297414082373173E-2</c:v>
                </c:pt>
                <c:pt idx="150">
                  <c:v>3.4686413600519828E-3</c:v>
                </c:pt>
                <c:pt idx="151">
                  <c:v>2.7059196123981444E-2</c:v>
                </c:pt>
                <c:pt idx="152">
                  <c:v>-1.2147654351121973E-2</c:v>
                </c:pt>
                <c:pt idx="153">
                  <c:v>-1.3202081026284396E-2</c:v>
                </c:pt>
                <c:pt idx="154">
                  <c:v>1.6615429050424346E-2</c:v>
                </c:pt>
                <c:pt idx="155">
                  <c:v>-4.6378297368717902E-2</c:v>
                </c:pt>
                <c:pt idx="156">
                  <c:v>1.6025757541704433E-2</c:v>
                </c:pt>
                <c:pt idx="157">
                  <c:v>6.0791994321527376E-3</c:v>
                </c:pt>
                <c:pt idx="158">
                  <c:v>1.3445841264766001E-2</c:v>
                </c:pt>
                <c:pt idx="159">
                  <c:v>-1.2676586052281058E-2</c:v>
                </c:pt>
                <c:pt idx="160">
                  <c:v>-1.4144769208909169E-3</c:v>
                </c:pt>
                <c:pt idx="161">
                  <c:v>-8.2266955887764226E-3</c:v>
                </c:pt>
                <c:pt idx="162">
                  <c:v>-2.3566211629111655E-2</c:v>
                </c:pt>
                <c:pt idx="163">
                  <c:v>1.4683549929676465E-2</c:v>
                </c:pt>
                <c:pt idx="164">
                  <c:v>5.2118096850086726E-3</c:v>
                </c:pt>
                <c:pt idx="165">
                  <c:v>2.5371869409180903E-3</c:v>
                </c:pt>
                <c:pt idx="166">
                  <c:v>2.0961774344238959E-2</c:v>
                </c:pt>
                <c:pt idx="167">
                  <c:v>5.388316873857768E-4</c:v>
                </c:pt>
                <c:pt idx="168">
                  <c:v>-1.7665745868107319E-2</c:v>
                </c:pt>
                <c:pt idx="169">
                  <c:v>2.6043094610686435E-2</c:v>
                </c:pt>
                <c:pt idx="170">
                  <c:v>2.0091883189547355E-2</c:v>
                </c:pt>
                <c:pt idx="171">
                  <c:v>-1.7862698308937608E-2</c:v>
                </c:pt>
                <c:pt idx="172">
                  <c:v>6.7736410802272662E-3</c:v>
                </c:pt>
                <c:pt idx="173">
                  <c:v>-1.3721111827747268E-2</c:v>
                </c:pt>
                <c:pt idx="174">
                  <c:v>1.2461766261607776E-2</c:v>
                </c:pt>
                <c:pt idx="175">
                  <c:v>-5.4114487396824673E-3</c:v>
                </c:pt>
                <c:pt idx="176">
                  <c:v>-1.4935669627483827E-3</c:v>
                </c:pt>
                <c:pt idx="177">
                  <c:v>-5.1819060293615271E-3</c:v>
                </c:pt>
                <c:pt idx="178">
                  <c:v>9.9881913328956351E-3</c:v>
                </c:pt>
                <c:pt idx="179">
                  <c:v>3.1899723182671202E-4</c:v>
                </c:pt>
                <c:pt idx="180">
                  <c:v>1.0630381687203094E-2</c:v>
                </c:pt>
                <c:pt idx="181">
                  <c:v>-1.1044809146127932E-3</c:v>
                </c:pt>
                <c:pt idx="182">
                  <c:v>-1.6374380638238595E-2</c:v>
                </c:pt>
                <c:pt idx="183">
                  <c:v>-2.9654254321915374E-2</c:v>
                </c:pt>
                <c:pt idx="184">
                  <c:v>8.3848411759974706E-3</c:v>
                </c:pt>
                <c:pt idx="185">
                  <c:v>-1.471554680444942E-2</c:v>
                </c:pt>
                <c:pt idx="186">
                  <c:v>-1.6711981474032633E-2</c:v>
                </c:pt>
                <c:pt idx="187">
                  <c:v>5.5335740643622788E-3</c:v>
                </c:pt>
                <c:pt idx="188">
                  <c:v>-1.2747102282714473E-2</c:v>
                </c:pt>
                <c:pt idx="189">
                  <c:v>-6.882384470535019E-3</c:v>
                </c:pt>
                <c:pt idx="190">
                  <c:v>2.7376854729317834E-2</c:v>
                </c:pt>
                <c:pt idx="191">
                  <c:v>5.9649457585866372E-3</c:v>
                </c:pt>
                <c:pt idx="192">
                  <c:v>-4.2671322405175571E-3</c:v>
                </c:pt>
                <c:pt idx="193">
                  <c:v>-1.0741279358798761E-2</c:v>
                </c:pt>
                <c:pt idx="194">
                  <c:v>1.1814379746835524E-2</c:v>
                </c:pt>
                <c:pt idx="195">
                  <c:v>1.0007950736459215E-3</c:v>
                </c:pt>
                <c:pt idx="196">
                  <c:v>2.3107276693369316E-2</c:v>
                </c:pt>
                <c:pt idx="197">
                  <c:v>-4.940566752369091E-3</c:v>
                </c:pt>
                <c:pt idx="198">
                  <c:v>3.0608904575561313E-2</c:v>
                </c:pt>
                <c:pt idx="199">
                  <c:v>3.4941182883907462E-3</c:v>
                </c:pt>
                <c:pt idx="200">
                  <c:v>4.4315272313659726E-3</c:v>
                </c:pt>
                <c:pt idx="201">
                  <c:v>-2.3845753578684459E-2</c:v>
                </c:pt>
                <c:pt idx="202">
                  <c:v>2.1038412019206421E-2</c:v>
                </c:pt>
                <c:pt idx="203">
                  <c:v>-3.9102019369256391E-2</c:v>
                </c:pt>
                <c:pt idx="204">
                  <c:v>2.0895020750137494E-2</c:v>
                </c:pt>
                <c:pt idx="205">
                  <c:v>1.235621850194768E-3</c:v>
                </c:pt>
                <c:pt idx="206">
                  <c:v>8.1016952435428724E-3</c:v>
                </c:pt>
                <c:pt idx="207">
                  <c:v>8.0365906010781973E-3</c:v>
                </c:pt>
                <c:pt idx="208">
                  <c:v>-4.7516368981503909E-4</c:v>
                </c:pt>
                <c:pt idx="209">
                  <c:v>-5.5992710960781622E-3</c:v>
                </c:pt>
                <c:pt idx="210">
                  <c:v>1.8061057104913569E-2</c:v>
                </c:pt>
                <c:pt idx="211">
                  <c:v>1.0279160248760633E-2</c:v>
                </c:pt>
                <c:pt idx="212">
                  <c:v>5.6812624130064826E-3</c:v>
                </c:pt>
                <c:pt idx="213">
                  <c:v>-2.0542008933124301E-3</c:v>
                </c:pt>
                <c:pt idx="214">
                  <c:v>-1.425485745273769E-2</c:v>
                </c:pt>
                <c:pt idx="215">
                  <c:v>-5.8992690279415783E-3</c:v>
                </c:pt>
                <c:pt idx="216">
                  <c:v>2.2056401870145237E-3</c:v>
                </c:pt>
                <c:pt idx="217">
                  <c:v>-6.4451636228288756E-3</c:v>
                </c:pt>
                <c:pt idx="218">
                  <c:v>2.5631559381722679E-2</c:v>
                </c:pt>
                <c:pt idx="219">
                  <c:v>-6.5819869050136592E-3</c:v>
                </c:pt>
                <c:pt idx="220">
                  <c:v>-2.0709146221764563E-4</c:v>
                </c:pt>
                <c:pt idx="221">
                  <c:v>1.0095842922987597E-2</c:v>
                </c:pt>
                <c:pt idx="222">
                  <c:v>1.1788764373487526E-2</c:v>
                </c:pt>
                <c:pt idx="223">
                  <c:v>9.7265099207652916E-3</c:v>
                </c:pt>
                <c:pt idx="224">
                  <c:v>-9.0809348606936124E-3</c:v>
                </c:pt>
                <c:pt idx="225">
                  <c:v>2.1264645366427803E-3</c:v>
                </c:pt>
                <c:pt idx="226">
                  <c:v>4.4966100716226087E-3</c:v>
                </c:pt>
                <c:pt idx="227">
                  <c:v>4.8787142432804576E-3</c:v>
                </c:pt>
                <c:pt idx="228">
                  <c:v>-4.104269626757584E-3</c:v>
                </c:pt>
                <c:pt idx="229">
                  <c:v>1.5228421293519645E-2</c:v>
                </c:pt>
                <c:pt idx="230">
                  <c:v>-1.7821831683169087E-3</c:v>
                </c:pt>
                <c:pt idx="231">
                  <c:v>-9.6211168896107591E-3</c:v>
                </c:pt>
                <c:pt idx="232">
                  <c:v>-4.4065599059572857E-3</c:v>
                </c:pt>
                <c:pt idx="233">
                  <c:v>-5.5326423964974225E-4</c:v>
                </c:pt>
                <c:pt idx="234">
                  <c:v>3.2710682758922971E-3</c:v>
                </c:pt>
                <c:pt idx="235">
                  <c:v>8.4771367953593302E-3</c:v>
                </c:pt>
                <c:pt idx="236">
                  <c:v>1.4423924181687919E-3</c:v>
                </c:pt>
                <c:pt idx="237">
                  <c:v>-2.3343648025105912E-3</c:v>
                </c:pt>
                <c:pt idx="238">
                  <c:v>6.9198986140264207E-3</c:v>
                </c:pt>
                <c:pt idx="239">
                  <c:v>-2.7242139504650931E-2</c:v>
                </c:pt>
                <c:pt idx="240">
                  <c:v>-1.3418038119440867E-2</c:v>
                </c:pt>
                <c:pt idx="241">
                  <c:v>1.9628030397052854E-2</c:v>
                </c:pt>
                <c:pt idx="242">
                  <c:v>2.3747019237541078E-3</c:v>
                </c:pt>
                <c:pt idx="243">
                  <c:v>2.071677514348913E-2</c:v>
                </c:pt>
                <c:pt idx="244">
                  <c:v>1.7580237037037039E-2</c:v>
                </c:pt>
                <c:pt idx="245">
                  <c:v>1.164733584050559E-3</c:v>
                </c:pt>
                <c:pt idx="246">
                  <c:v>-5.8172563380920472E-4</c:v>
                </c:pt>
                <c:pt idx="247">
                  <c:v>-5.1411292850320756E-3</c:v>
                </c:pt>
                <c:pt idx="248">
                  <c:v>1.301676123773321E-2</c:v>
                </c:pt>
                <c:pt idx="249">
                  <c:v>1.4919534647657162E-3</c:v>
                </c:pt>
                <c:pt idx="250">
                  <c:v>-1.7731868782358551E-2</c:v>
                </c:pt>
                <c:pt idx="251">
                  <c:v>4.1093683457880115E-3</c:v>
                </c:pt>
                <c:pt idx="252">
                  <c:v>2.2070640682094966E-2</c:v>
                </c:pt>
                <c:pt idx="253">
                  <c:v>-5.2912622999869985E-3</c:v>
                </c:pt>
                <c:pt idx="254">
                  <c:v>1.8833603477582894E-2</c:v>
                </c:pt>
                <c:pt idx="255">
                  <c:v>2.1636499859740699E-3</c:v>
                </c:pt>
                <c:pt idx="256">
                  <c:v>1.0138003474495338E-2</c:v>
                </c:pt>
                <c:pt idx="257">
                  <c:v>1.4310946871522345E-2</c:v>
                </c:pt>
                <c:pt idx="258">
                  <c:v>-1.0994273783861974E-3</c:v>
                </c:pt>
                <c:pt idx="259">
                  <c:v>1.7655718771491413E-2</c:v>
                </c:pt>
                <c:pt idx="260">
                  <c:v>-1.2843071283978658E-2</c:v>
                </c:pt>
                <c:pt idx="261">
                  <c:v>9.540746914459497E-3</c:v>
                </c:pt>
                <c:pt idx="262">
                  <c:v>2.8035723121024869E-3</c:v>
                </c:pt>
                <c:pt idx="263">
                  <c:v>1.6683726082269423E-3</c:v>
                </c:pt>
                <c:pt idx="264">
                  <c:v>-3.1511524405831715E-3</c:v>
                </c:pt>
                <c:pt idx="265">
                  <c:v>-5.4188493007689686E-4</c:v>
                </c:pt>
                <c:pt idx="266">
                  <c:v>-7.0486713837850656E-3</c:v>
                </c:pt>
                <c:pt idx="267">
                  <c:v>-8.2817302575931562E-3</c:v>
                </c:pt>
                <c:pt idx="268">
                  <c:v>-1.4086477800436148E-2</c:v>
                </c:pt>
                <c:pt idx="269">
                  <c:v>1.358960333200554E-2</c:v>
                </c:pt>
                <c:pt idx="270">
                  <c:v>2.4978204577103646E-2</c:v>
                </c:pt>
                <c:pt idx="271">
                  <c:v>-6.1371667094416771E-2</c:v>
                </c:pt>
                <c:pt idx="272">
                  <c:v>-3.6367083646098863E-2</c:v>
                </c:pt>
                <c:pt idx="273">
                  <c:v>1.1292149744100977E-2</c:v>
                </c:pt>
                <c:pt idx="274">
                  <c:v>2.762133280159329E-2</c:v>
                </c:pt>
                <c:pt idx="275">
                  <c:v>1.334408794410713E-3</c:v>
                </c:pt>
                <c:pt idx="276">
                  <c:v>3.5219884654609235E-3</c:v>
                </c:pt>
                <c:pt idx="277">
                  <c:v>7.0191887971775557E-3</c:v>
                </c:pt>
                <c:pt idx="278">
                  <c:v>3.4380256823056676E-3</c:v>
                </c:pt>
                <c:pt idx="279">
                  <c:v>-2.7550906106739048E-2</c:v>
                </c:pt>
                <c:pt idx="280">
                  <c:v>1.7230527368786941E-2</c:v>
                </c:pt>
                <c:pt idx="281">
                  <c:v>1.1292484610279097E-2</c:v>
                </c:pt>
                <c:pt idx="282">
                  <c:v>4.8793938485474087E-3</c:v>
                </c:pt>
                <c:pt idx="283">
                  <c:v>1.6901718733364657E-2</c:v>
                </c:pt>
                <c:pt idx="284">
                  <c:v>-1.4233149482555385E-3</c:v>
                </c:pt>
                <c:pt idx="285">
                  <c:v>-1.3379938999955376E-2</c:v>
                </c:pt>
                <c:pt idx="286">
                  <c:v>-2.0505214647169256E-2</c:v>
                </c:pt>
                <c:pt idx="287">
                  <c:v>-4.5009003306989315E-2</c:v>
                </c:pt>
                <c:pt idx="288">
                  <c:v>-1.9679139997612838E-2</c:v>
                </c:pt>
                <c:pt idx="289">
                  <c:v>2.185256854494888E-3</c:v>
                </c:pt>
                <c:pt idx="290">
                  <c:v>-3.7778890027062251E-2</c:v>
                </c:pt>
                <c:pt idx="291">
                  <c:v>1.4334656126482104E-2</c:v>
                </c:pt>
                <c:pt idx="292">
                  <c:v>2.0626596245510553E-2</c:v>
                </c:pt>
                <c:pt idx="293">
                  <c:v>-5.3705980923376306E-2</c:v>
                </c:pt>
                <c:pt idx="294">
                  <c:v>3.157779348850287E-2</c:v>
                </c:pt>
                <c:pt idx="295">
                  <c:v>-3.4365859260686804E-2</c:v>
                </c:pt>
                <c:pt idx="296">
                  <c:v>-2.2033817811025647E-2</c:v>
                </c:pt>
                <c:pt idx="297">
                  <c:v>-6.4001304633084288E-2</c:v>
                </c:pt>
                <c:pt idx="298">
                  <c:v>5.1268448377581155E-2</c:v>
                </c:pt>
                <c:pt idx="299">
                  <c:v>-4.4615280940397573E-2</c:v>
                </c:pt>
                <c:pt idx="300">
                  <c:v>-9.2633949346982214E-2</c:v>
                </c:pt>
                <c:pt idx="301">
                  <c:v>0.10234995725804397</c:v>
                </c:pt>
                <c:pt idx="302">
                  <c:v>-0.14252997499723974</c:v>
                </c:pt>
                <c:pt idx="303">
                  <c:v>2.3354586102136254E-2</c:v>
                </c:pt>
                <c:pt idx="304">
                  <c:v>-1.6463599470801782E-2</c:v>
                </c:pt>
                <c:pt idx="305">
                  <c:v>4.1984197782462207E-2</c:v>
                </c:pt>
                <c:pt idx="306">
                  <c:v>-2.2203414673695132E-2</c:v>
                </c:pt>
                <c:pt idx="307">
                  <c:v>-1.0886195442094238E-2</c:v>
                </c:pt>
                <c:pt idx="308">
                  <c:v>8.6968193640721392E-2</c:v>
                </c:pt>
                <c:pt idx="309">
                  <c:v>-2.9630942468156118E-2</c:v>
                </c:pt>
                <c:pt idx="310">
                  <c:v>4.5643612319920202E-2</c:v>
                </c:pt>
                <c:pt idx="311">
                  <c:v>-4.0100423413748643E-2</c:v>
                </c:pt>
                <c:pt idx="312">
                  <c:v>5.8422121365870439E-2</c:v>
                </c:pt>
                <c:pt idx="313">
                  <c:v>5.1220609543005668E-3</c:v>
                </c:pt>
                <c:pt idx="314">
                  <c:v>-4.31654488639307E-2</c:v>
                </c:pt>
                <c:pt idx="315">
                  <c:v>-8.8346111966939311E-3</c:v>
                </c:pt>
                <c:pt idx="316">
                  <c:v>-2.5349320116956564E-2</c:v>
                </c:pt>
                <c:pt idx="317">
                  <c:v>7.3745041615094653E-2</c:v>
                </c:pt>
                <c:pt idx="318">
                  <c:v>1.981273899463476E-2</c:v>
                </c:pt>
                <c:pt idx="319">
                  <c:v>3.2280974562802989E-2</c:v>
                </c:pt>
                <c:pt idx="320">
                  <c:v>5.2214999152024877E-3</c:v>
                </c:pt>
                <c:pt idx="321">
                  <c:v>-2.2832866912119165E-3</c:v>
                </c:pt>
                <c:pt idx="322">
                  <c:v>1.9337520083315018E-2</c:v>
                </c:pt>
                <c:pt idx="323">
                  <c:v>-6.7351238338118069E-3</c:v>
                </c:pt>
                <c:pt idx="324">
                  <c:v>-4.0684918117844804E-3</c:v>
                </c:pt>
                <c:pt idx="325">
                  <c:v>1.6964567375886475E-2</c:v>
                </c:pt>
                <c:pt idx="326">
                  <c:v>-5.5791116497680981E-3</c:v>
                </c:pt>
                <c:pt idx="327">
                  <c:v>-4.1741482222242943E-2</c:v>
                </c:pt>
                <c:pt idx="328">
                  <c:v>6.7213090154336852E-2</c:v>
                </c:pt>
                <c:pt idx="329">
                  <c:v>1.5635319374782242E-2</c:v>
                </c:pt>
                <c:pt idx="330">
                  <c:v>2.6683961900179298E-2</c:v>
                </c:pt>
                <c:pt idx="331">
                  <c:v>-1.3521370575842684E-2</c:v>
                </c:pt>
                <c:pt idx="332">
                  <c:v>-2.4479978666666735E-2</c:v>
                </c:pt>
                <c:pt idx="333">
                  <c:v>6.1669661326998915E-2</c:v>
                </c:pt>
                <c:pt idx="334">
                  <c:v>5.4173772550864863E-2</c:v>
                </c:pt>
                <c:pt idx="335">
                  <c:v>-1.191931472114105E-2</c:v>
                </c:pt>
                <c:pt idx="336">
                  <c:v>1.4782176995457919E-2</c:v>
                </c:pt>
                <c:pt idx="337">
                  <c:v>8.8181430580274167E-3</c:v>
                </c:pt>
                <c:pt idx="338">
                  <c:v>6.7609694918298047E-3</c:v>
                </c:pt>
                <c:pt idx="339">
                  <c:v>1.3383191761964897E-2</c:v>
                </c:pt>
                <c:pt idx="340">
                  <c:v>5.1595712666754334E-3</c:v>
                </c:pt>
                <c:pt idx="341">
                  <c:v>3.9085800638027912E-3</c:v>
                </c:pt>
                <c:pt idx="342">
                  <c:v>-1.4447823910004431E-2</c:v>
                </c:pt>
                <c:pt idx="343">
                  <c:v>-2.3798190657833729E-2</c:v>
                </c:pt>
                <c:pt idx="344">
                  <c:v>8.3373571427394211E-3</c:v>
                </c:pt>
                <c:pt idx="345">
                  <c:v>1.9679933462404486E-2</c:v>
                </c:pt>
                <c:pt idx="346">
                  <c:v>1.0954082631020379E-2</c:v>
                </c:pt>
                <c:pt idx="347">
                  <c:v>1.7308518060804801E-2</c:v>
                </c:pt>
                <c:pt idx="348">
                  <c:v>6.0355937376523006E-2</c:v>
                </c:pt>
                <c:pt idx="349">
                  <c:v>6.1747097178992405E-3</c:v>
                </c:pt>
                <c:pt idx="350">
                  <c:v>1.52124336194841E-2</c:v>
                </c:pt>
                <c:pt idx="351">
                  <c:v>-1.1536362665933941E-2</c:v>
                </c:pt>
                <c:pt idx="352">
                  <c:v>-1.3178286130641093E-2</c:v>
                </c:pt>
                <c:pt idx="353">
                  <c:v>-1.6060015781007353E-2</c:v>
                </c:pt>
                <c:pt idx="354">
                  <c:v>-1.6411380666726538E-3</c:v>
                </c:pt>
                <c:pt idx="355">
                  <c:v>3.0299027594278272E-2</c:v>
                </c:pt>
                <c:pt idx="356">
                  <c:v>3.4927212540603048E-3</c:v>
                </c:pt>
                <c:pt idx="357">
                  <c:v>-1.1000330822446225E-2</c:v>
                </c:pt>
                <c:pt idx="358">
                  <c:v>-1.6814437490190404E-2</c:v>
                </c:pt>
                <c:pt idx="359">
                  <c:v>1.97976540659488E-2</c:v>
                </c:pt>
                <c:pt idx="360">
                  <c:v>2.7299475195223799E-3</c:v>
                </c:pt>
                <c:pt idx="361">
                  <c:v>3.1417477046261189E-2</c:v>
                </c:pt>
                <c:pt idx="362">
                  <c:v>-8.1283865431631686E-3</c:v>
                </c:pt>
                <c:pt idx="363">
                  <c:v>-5.195794030258849E-2</c:v>
                </c:pt>
                <c:pt idx="364">
                  <c:v>1.8491329721691985E-2</c:v>
                </c:pt>
                <c:pt idx="365">
                  <c:v>1.7149347999393161E-2</c:v>
                </c:pt>
                <c:pt idx="366">
                  <c:v>1.3548361290322442E-2</c:v>
                </c:pt>
                <c:pt idx="367">
                  <c:v>-5.0920858499992061E-4</c:v>
                </c:pt>
                <c:pt idx="368">
                  <c:v>1.7407676378413672E-3</c:v>
                </c:pt>
                <c:pt idx="369">
                  <c:v>1.2079303957961418E-2</c:v>
                </c:pt>
                <c:pt idx="370">
                  <c:v>1.8007789798795137E-3</c:v>
                </c:pt>
                <c:pt idx="371">
                  <c:v>1.262437917973247E-2</c:v>
                </c:pt>
                <c:pt idx="372">
                  <c:v>-3.3933292727598818E-2</c:v>
                </c:pt>
                <c:pt idx="373">
                  <c:v>7.0933636938148581E-3</c:v>
                </c:pt>
                <c:pt idx="374">
                  <c:v>-8.3163575959542713E-2</c:v>
                </c:pt>
                <c:pt idx="375">
                  <c:v>2.1103280996822571E-2</c:v>
                </c:pt>
                <c:pt idx="376">
                  <c:v>2.914253095151631E-2</c:v>
                </c:pt>
                <c:pt idx="377">
                  <c:v>4.6153149587915498E-2</c:v>
                </c:pt>
                <c:pt idx="378">
                  <c:v>-1.7385834341580808E-2</c:v>
                </c:pt>
                <c:pt idx="379">
                  <c:v>2.938908859042999E-2</c:v>
                </c:pt>
                <c:pt idx="380">
                  <c:v>2.4138588414095441E-3</c:v>
                </c:pt>
                <c:pt idx="381">
                  <c:v>1.1292871330678134E-2</c:v>
                </c:pt>
                <c:pt idx="382">
                  <c:v>3.776984943123507E-3</c:v>
                </c:pt>
                <c:pt idx="383">
                  <c:v>2.331316973415154E-3</c:v>
                </c:pt>
                <c:pt idx="384">
                  <c:v>-2.4768461364592875E-2</c:v>
                </c:pt>
                <c:pt idx="385">
                  <c:v>3.0543765690376201E-3</c:v>
                </c:pt>
                <c:pt idx="386">
                  <c:v>2.2942602476829776E-3</c:v>
                </c:pt>
                <c:pt idx="387">
                  <c:v>2.7051523335490657E-3</c:v>
                </c:pt>
                <c:pt idx="388">
                  <c:v>4.5656665087772108E-3</c:v>
                </c:pt>
                <c:pt idx="389">
                  <c:v>1.4006524042500912E-2</c:v>
                </c:pt>
                <c:pt idx="390">
                  <c:v>-1.4953948455333266E-2</c:v>
                </c:pt>
                <c:pt idx="391">
                  <c:v>-7.7766494312306866E-3</c:v>
                </c:pt>
                <c:pt idx="392">
                  <c:v>-3.0308038318840103E-2</c:v>
                </c:pt>
                <c:pt idx="393">
                  <c:v>-8.1255328944402905E-3</c:v>
                </c:pt>
                <c:pt idx="394">
                  <c:v>1.2093073188628622E-2</c:v>
                </c:pt>
                <c:pt idx="395">
                  <c:v>-1.4475396145610331E-2</c:v>
                </c:pt>
                <c:pt idx="396">
                  <c:v>1.377541312739905E-2</c:v>
                </c:pt>
                <c:pt idx="397">
                  <c:v>5.1867076870286688E-3</c:v>
                </c:pt>
                <c:pt idx="398">
                  <c:v>8.174839232409381E-2</c:v>
                </c:pt>
                <c:pt idx="399">
                  <c:v>-6.7410060846060382E-3</c:v>
                </c:pt>
                <c:pt idx="400">
                  <c:v>-8.4537424227011382E-3</c:v>
                </c:pt>
                <c:pt idx="401">
                  <c:v>-2.8419605104115231E-3</c:v>
                </c:pt>
                <c:pt idx="402">
                  <c:v>6.4868353903105858E-2</c:v>
                </c:pt>
                <c:pt idx="403">
                  <c:v>1.1911953452623525E-2</c:v>
                </c:pt>
                <c:pt idx="404">
                  <c:v>-2.0265243478876149E-2</c:v>
                </c:pt>
                <c:pt idx="405">
                  <c:v>-2.6121653992395522E-2</c:v>
                </c:pt>
                <c:pt idx="406">
                  <c:v>1.4680084045600283E-2</c:v>
                </c:pt>
                <c:pt idx="407">
                  <c:v>5.4252680696484923E-3</c:v>
                </c:pt>
                <c:pt idx="408">
                  <c:v>-2.2961348165084772E-4</c:v>
                </c:pt>
                <c:pt idx="409">
                  <c:v>-3.0617823863787752E-4</c:v>
                </c:pt>
                <c:pt idx="410">
                  <c:v>4.5182722542767007E-3</c:v>
                </c:pt>
                <c:pt idx="411">
                  <c:v>9.5296181982096329E-4</c:v>
                </c:pt>
                <c:pt idx="412">
                  <c:v>2.4448814112476791E-2</c:v>
                </c:pt>
                <c:pt idx="413">
                  <c:v>-7.4346675798421247E-3</c:v>
                </c:pt>
                <c:pt idx="414">
                  <c:v>1.640389811602927E-2</c:v>
                </c:pt>
                <c:pt idx="415">
                  <c:v>3.4747011602471733E-2</c:v>
                </c:pt>
                <c:pt idx="416">
                  <c:v>8.2223475622946074E-2</c:v>
                </c:pt>
                <c:pt idx="417">
                  <c:v>-3.5174896710540637E-2</c:v>
                </c:pt>
                <c:pt idx="418">
                  <c:v>1.5005899955644608E-3</c:v>
                </c:pt>
                <c:pt idx="419">
                  <c:v>-1.5664101128324281E-3</c:v>
                </c:pt>
                <c:pt idx="420">
                  <c:v>7.6398018701309134E-3</c:v>
                </c:pt>
                <c:pt idx="421">
                  <c:v>2.3896554130134362E-2</c:v>
                </c:pt>
                <c:pt idx="422">
                  <c:v>-3.7619851239669377E-2</c:v>
                </c:pt>
                <c:pt idx="423">
                  <c:v>-2.8819676230071423E-2</c:v>
                </c:pt>
                <c:pt idx="424">
                  <c:v>-4.0922457998277317E-2</c:v>
                </c:pt>
                <c:pt idx="425">
                  <c:v>9.4409092869021105E-3</c:v>
                </c:pt>
                <c:pt idx="426">
                  <c:v>-2.056848231562014E-2</c:v>
                </c:pt>
                <c:pt idx="427">
                  <c:v>-5.5205752623458393E-3</c:v>
                </c:pt>
                <c:pt idx="428">
                  <c:v>-1.7253329803083028E-3</c:v>
                </c:pt>
                <c:pt idx="429">
                  <c:v>2.3558215823217266E-2</c:v>
                </c:pt>
                <c:pt idx="430">
                  <c:v>-3.2670228233195098E-2</c:v>
                </c:pt>
                <c:pt idx="431">
                  <c:v>-3.3014505021097262E-2</c:v>
                </c:pt>
                <c:pt idx="432">
                  <c:v>-8.986766882868813E-3</c:v>
                </c:pt>
                <c:pt idx="433">
                  <c:v>-1.7344493792200932E-2</c:v>
                </c:pt>
                <c:pt idx="434">
                  <c:v>2.6596841263675453E-2</c:v>
                </c:pt>
                <c:pt idx="435">
                  <c:v>-2.2492624141315032E-2</c:v>
                </c:pt>
                <c:pt idx="436">
                  <c:v>2.0480081592160193E-3</c:v>
                </c:pt>
                <c:pt idx="437">
                  <c:v>2.1199887874002732E-2</c:v>
                </c:pt>
                <c:pt idx="438">
                  <c:v>7.8486772822354833E-3</c:v>
                </c:pt>
                <c:pt idx="439">
                  <c:v>1.9352082643623758E-2</c:v>
                </c:pt>
                <c:pt idx="440">
                  <c:v>4.2012680476277708E-4</c:v>
                </c:pt>
                <c:pt idx="441">
                  <c:v>1.806037078412448E-2</c:v>
                </c:pt>
                <c:pt idx="442">
                  <c:v>-2.5090960786652627E-2</c:v>
                </c:pt>
                <c:pt idx="443">
                  <c:v>1.8119535137958387E-2</c:v>
                </c:pt>
                <c:pt idx="444">
                  <c:v>-2.2633629834882929E-2</c:v>
                </c:pt>
                <c:pt idx="445">
                  <c:v>-2.0877174346598526E-3</c:v>
                </c:pt>
                <c:pt idx="446">
                  <c:v>2.1850360720795825E-2</c:v>
                </c:pt>
                <c:pt idx="447">
                  <c:v>2.6160220421587166E-3</c:v>
                </c:pt>
                <c:pt idx="448">
                  <c:v>4.273014742763559E-2</c:v>
                </c:pt>
                <c:pt idx="449">
                  <c:v>1.4143789664551321E-3</c:v>
                </c:pt>
                <c:pt idx="450">
                  <c:v>-1.5644266550793207E-2</c:v>
                </c:pt>
                <c:pt idx="451">
                  <c:v>-1.8762437895161854E-2</c:v>
                </c:pt>
                <c:pt idx="452">
                  <c:v>-2.9619376013724219E-3</c:v>
                </c:pt>
                <c:pt idx="453">
                  <c:v>-1.7034554654389966E-2</c:v>
                </c:pt>
                <c:pt idx="454">
                  <c:v>2.3565432828586808E-2</c:v>
                </c:pt>
                <c:pt idx="455">
                  <c:v>4.1747694287245452E-2</c:v>
                </c:pt>
                <c:pt idx="456">
                  <c:v>-2.1885551462916819E-3</c:v>
                </c:pt>
                <c:pt idx="457">
                  <c:v>2.3982504386281134E-2</c:v>
                </c:pt>
                <c:pt idx="458">
                  <c:v>-2.6967322438618324E-2</c:v>
                </c:pt>
                <c:pt idx="459">
                  <c:v>2.2301700893239129E-2</c:v>
                </c:pt>
                <c:pt idx="460">
                  <c:v>-5.5137828740017492E-2</c:v>
                </c:pt>
                <c:pt idx="461">
                  <c:v>4.9164917102611838E-2</c:v>
                </c:pt>
                <c:pt idx="462">
                  <c:v>-6.309868183699352E-2</c:v>
                </c:pt>
                <c:pt idx="463">
                  <c:v>-6.651210899502713E-3</c:v>
                </c:pt>
                <c:pt idx="464">
                  <c:v>1.5075004691326388E-2</c:v>
                </c:pt>
                <c:pt idx="465">
                  <c:v>8.3226603839876567E-2</c:v>
                </c:pt>
                <c:pt idx="466">
                  <c:v>2.5401864684357678E-2</c:v>
                </c:pt>
                <c:pt idx="467">
                  <c:v>-4.309722513126335E-3</c:v>
                </c:pt>
                <c:pt idx="468">
                  <c:v>-4.9896100338828298E-2</c:v>
                </c:pt>
                <c:pt idx="469">
                  <c:v>-2.2742749399756845E-2</c:v>
                </c:pt>
                <c:pt idx="470">
                  <c:v>1.4866270616539445E-2</c:v>
                </c:pt>
                <c:pt idx="471">
                  <c:v>-5.0637440114973398E-3</c:v>
                </c:pt>
                <c:pt idx="472">
                  <c:v>6.7981135974097828E-3</c:v>
                </c:pt>
                <c:pt idx="473">
                  <c:v>7.2575515902124632E-3</c:v>
                </c:pt>
                <c:pt idx="474">
                  <c:v>-1.4195551791511218E-2</c:v>
                </c:pt>
                <c:pt idx="475">
                  <c:v>-1.101817818181805E-2</c:v>
                </c:pt>
                <c:pt idx="476">
                  <c:v>3.5665735060241843E-3</c:v>
                </c:pt>
                <c:pt idx="477">
                  <c:v>-1.1870704097085683E-2</c:v>
                </c:pt>
                <c:pt idx="478">
                  <c:v>-4.7090060937780009E-3</c:v>
                </c:pt>
                <c:pt idx="479">
                  <c:v>3.1628432818235686E-2</c:v>
                </c:pt>
                <c:pt idx="480">
                  <c:v>-4.8028923066676388E-3</c:v>
                </c:pt>
                <c:pt idx="481">
                  <c:v>8.0554520563946852E-3</c:v>
                </c:pt>
                <c:pt idx="482">
                  <c:v>-3.0236384797064364E-3</c:v>
                </c:pt>
                <c:pt idx="483">
                  <c:v>3.4588536539738701E-2</c:v>
                </c:pt>
                <c:pt idx="484">
                  <c:v>3.385102218186109E-3</c:v>
                </c:pt>
                <c:pt idx="485">
                  <c:v>-1.9720308906939987E-2</c:v>
                </c:pt>
                <c:pt idx="486">
                  <c:v>-7.6281495626435714E-3</c:v>
                </c:pt>
                <c:pt idx="487">
                  <c:v>2.1022433849591682E-2</c:v>
                </c:pt>
                <c:pt idx="488">
                  <c:v>-7.6335636222296666E-3</c:v>
                </c:pt>
                <c:pt idx="489">
                  <c:v>-1.9336560042411355E-2</c:v>
                </c:pt>
                <c:pt idx="490">
                  <c:v>-2.8785908267785487E-3</c:v>
                </c:pt>
                <c:pt idx="491">
                  <c:v>-1.2882531265923425E-2</c:v>
                </c:pt>
                <c:pt idx="492">
                  <c:v>2.3396601282248408E-3</c:v>
                </c:pt>
                <c:pt idx="493">
                  <c:v>4.9600130934022157E-3</c:v>
                </c:pt>
                <c:pt idx="494">
                  <c:v>4.3558339766658349E-4</c:v>
                </c:pt>
                <c:pt idx="495">
                  <c:v>-4.3167625925275566E-3</c:v>
                </c:pt>
                <c:pt idx="496">
                  <c:v>6.9949829607081071E-3</c:v>
                </c:pt>
                <c:pt idx="497">
                  <c:v>-1.3060727490464386E-2</c:v>
                </c:pt>
                <c:pt idx="498">
                  <c:v>-2.0895241071677284E-2</c:v>
                </c:pt>
                <c:pt idx="499">
                  <c:v>3.8188963093923611E-3</c:v>
                </c:pt>
                <c:pt idx="500">
                  <c:v>-2.6481333770541626E-3</c:v>
                </c:pt>
                <c:pt idx="501">
                  <c:v>3.5901294747224366E-2</c:v>
                </c:pt>
                <c:pt idx="502">
                  <c:v>-7.9422743682322494E-4</c:v>
                </c:pt>
                <c:pt idx="503">
                  <c:v>-1.7739735594117012E-2</c:v>
                </c:pt>
                <c:pt idx="504">
                  <c:v>4.7449480403307653E-3</c:v>
                </c:pt>
                <c:pt idx="505">
                  <c:v>-1.5448828299182593E-2</c:v>
                </c:pt>
                <c:pt idx="506">
                  <c:v>7.5481482297306002E-3</c:v>
                </c:pt>
                <c:pt idx="507">
                  <c:v>-2.8268823012625677E-2</c:v>
                </c:pt>
                <c:pt idx="508">
                  <c:v>2.0622050211705156E-2</c:v>
                </c:pt>
                <c:pt idx="509">
                  <c:v>-4.353587272218018E-3</c:v>
                </c:pt>
                <c:pt idx="510">
                  <c:v>-4.0101695703136042E-2</c:v>
                </c:pt>
                <c:pt idx="511">
                  <c:v>-2.2387478934550287E-2</c:v>
                </c:pt>
                <c:pt idx="512">
                  <c:v>2.190461622373796E-3</c:v>
                </c:pt>
                <c:pt idx="513">
                  <c:v>-2.3843586170098519E-2</c:v>
                </c:pt>
                <c:pt idx="514">
                  <c:v>2.3286117990905852E-2</c:v>
                </c:pt>
                <c:pt idx="515">
                  <c:v>3.874922406608361E-2</c:v>
                </c:pt>
                <c:pt idx="516">
                  <c:v>2.4435100932169274E-2</c:v>
                </c:pt>
                <c:pt idx="517">
                  <c:v>2.0150978683786791E-2</c:v>
                </c:pt>
                <c:pt idx="518">
                  <c:v>5.9735589469995798E-3</c:v>
                </c:pt>
                <c:pt idx="519">
                  <c:v>1.278692167577411E-2</c:v>
                </c:pt>
                <c:pt idx="520">
                  <c:v>1.4531771715701858E-2</c:v>
                </c:pt>
                <c:pt idx="521">
                  <c:v>-3.5135520019947575E-2</c:v>
                </c:pt>
                <c:pt idx="522">
                  <c:v>-2.6236549593781744E-2</c:v>
                </c:pt>
                <c:pt idx="523">
                  <c:v>-2.5169860377358466E-2</c:v>
                </c:pt>
                <c:pt idx="524">
                  <c:v>1.4245434851510419E-2</c:v>
                </c:pt>
                <c:pt idx="525">
                  <c:v>1.935031795159281E-2</c:v>
                </c:pt>
                <c:pt idx="526">
                  <c:v>-1.609978362025366E-3</c:v>
                </c:pt>
                <c:pt idx="527">
                  <c:v>-6.0005251678352245E-4</c:v>
                </c:pt>
                <c:pt idx="528">
                  <c:v>6.041562761888386E-3</c:v>
                </c:pt>
                <c:pt idx="529">
                  <c:v>-5.6695970383529026E-3</c:v>
                </c:pt>
                <c:pt idx="530">
                  <c:v>1.0766093255154985E-2</c:v>
                </c:pt>
                <c:pt idx="531">
                  <c:v>8.9811946269275911E-3</c:v>
                </c:pt>
                <c:pt idx="532">
                  <c:v>-5.4437048119267972E-3</c:v>
                </c:pt>
                <c:pt idx="533">
                  <c:v>4.0676428084807092E-4</c:v>
                </c:pt>
                <c:pt idx="534">
                  <c:v>1.2828099815157312E-2</c:v>
                </c:pt>
                <c:pt idx="535">
                  <c:v>-1.4599919645948978E-3</c:v>
                </c:pt>
                <c:pt idx="536">
                  <c:v>-1.5279423522476909E-2</c:v>
                </c:pt>
                <c:pt idx="537">
                  <c:v>-2.9065728364134014E-2</c:v>
                </c:pt>
                <c:pt idx="538">
                  <c:v>-4.7025959986434218E-3</c:v>
                </c:pt>
                <c:pt idx="539">
                  <c:v>2.1242262805475365E-2</c:v>
                </c:pt>
                <c:pt idx="540">
                  <c:v>-5.8300875929109264E-3</c:v>
                </c:pt>
                <c:pt idx="541">
                  <c:v>-3.6396640584137163E-2</c:v>
                </c:pt>
                <c:pt idx="542">
                  <c:v>1.1504153979314813E-2</c:v>
                </c:pt>
                <c:pt idx="543">
                  <c:v>2.8297527915098319E-2</c:v>
                </c:pt>
                <c:pt idx="544">
                  <c:v>-2.2309478354014978E-2</c:v>
                </c:pt>
                <c:pt idx="545">
                  <c:v>-1.3860988416988462E-2</c:v>
                </c:pt>
                <c:pt idx="546">
                  <c:v>8.7311027958012488E-3</c:v>
                </c:pt>
                <c:pt idx="547">
                  <c:v>2.5772331988103581E-2</c:v>
                </c:pt>
                <c:pt idx="548">
                  <c:v>-3.3941278318227797E-2</c:v>
                </c:pt>
                <c:pt idx="549">
                  <c:v>4.0852266192881181E-2</c:v>
                </c:pt>
                <c:pt idx="550">
                  <c:v>-3.1609694875053274E-3</c:v>
                </c:pt>
                <c:pt idx="551">
                  <c:v>3.3899627041894087E-2</c:v>
                </c:pt>
                <c:pt idx="552">
                  <c:v>-2.0008802760172251E-2</c:v>
                </c:pt>
                <c:pt idx="553">
                  <c:v>1.9932958716832205E-2</c:v>
                </c:pt>
                <c:pt idx="554">
                  <c:v>2.0200909589040972E-2</c:v>
                </c:pt>
                <c:pt idx="555">
                  <c:v>1.6936447353682604E-2</c:v>
                </c:pt>
                <c:pt idx="556">
                  <c:v>-1.8978257139598775E-2</c:v>
                </c:pt>
                <c:pt idx="557">
                  <c:v>4.1238928311659651E-2</c:v>
                </c:pt>
                <c:pt idx="558">
                  <c:v>1.1823184920711993E-2</c:v>
                </c:pt>
                <c:pt idx="559">
                  <c:v>-9.9134833780019083E-3</c:v>
                </c:pt>
                <c:pt idx="560">
                  <c:v>-2.9212365736290602E-2</c:v>
                </c:pt>
                <c:pt idx="561">
                  <c:v>-1.2050842912161963E-2</c:v>
                </c:pt>
                <c:pt idx="562">
                  <c:v>1.5354807898213751E-2</c:v>
                </c:pt>
                <c:pt idx="563">
                  <c:v>2.7559954431345624E-2</c:v>
                </c:pt>
                <c:pt idx="564">
                  <c:v>-9.6967434568556721E-3</c:v>
                </c:pt>
                <c:pt idx="565">
                  <c:v>2.2673607638888704E-2</c:v>
                </c:pt>
                <c:pt idx="566">
                  <c:v>1.4022357702177635E-2</c:v>
                </c:pt>
                <c:pt idx="567">
                  <c:v>3.4319962039510266E-2</c:v>
                </c:pt>
                <c:pt idx="568">
                  <c:v>-8.5785308526298287E-3</c:v>
                </c:pt>
                <c:pt idx="569">
                  <c:v>2.2301266169226563E-2</c:v>
                </c:pt>
                <c:pt idx="570">
                  <c:v>-2.2360024559830993E-4</c:v>
                </c:pt>
                <c:pt idx="571">
                  <c:v>-1.7890167391194645E-3</c:v>
                </c:pt>
                <c:pt idx="572">
                  <c:v>-2.9443193576741411E-3</c:v>
                </c:pt>
                <c:pt idx="573">
                  <c:v>-5.7135486569237504E-3</c:v>
                </c:pt>
                <c:pt idx="574">
                  <c:v>-2.2404451110393686E-2</c:v>
                </c:pt>
                <c:pt idx="575">
                  <c:v>1.651145857083347E-2</c:v>
                </c:pt>
                <c:pt idx="576">
                  <c:v>-5.3278343275456885E-3</c:v>
                </c:pt>
                <c:pt idx="577">
                  <c:v>-1.2868257528505622E-2</c:v>
                </c:pt>
                <c:pt idx="578">
                  <c:v>1.3565511301136812E-3</c:v>
                </c:pt>
                <c:pt idx="579">
                  <c:v>-3.8988700591217063E-3</c:v>
                </c:pt>
                <c:pt idx="580">
                  <c:v>-1.6419583983747765E-2</c:v>
                </c:pt>
                <c:pt idx="581">
                  <c:v>1.5547066541945487E-2</c:v>
                </c:pt>
                <c:pt idx="582">
                  <c:v>6.3427887234286384E-3</c:v>
                </c:pt>
                <c:pt idx="583">
                  <c:v>1.7489373820602783E-3</c:v>
                </c:pt>
                <c:pt idx="584">
                  <c:v>1.1628286453213565E-2</c:v>
                </c:pt>
                <c:pt idx="585">
                  <c:v>7.2972984572328592E-2</c:v>
                </c:pt>
                <c:pt idx="586">
                  <c:v>-1.3444274424318725E-2</c:v>
                </c:pt>
                <c:pt idx="587">
                  <c:v>-7.6904149746997996E-3</c:v>
                </c:pt>
                <c:pt idx="588">
                  <c:v>-1.3082032891271744E-2</c:v>
                </c:pt>
                <c:pt idx="589">
                  <c:v>-1.0491255677122835E-2</c:v>
                </c:pt>
                <c:pt idx="590">
                  <c:v>1.5872008680693606E-2</c:v>
                </c:pt>
                <c:pt idx="591">
                  <c:v>-2.9373227682973901E-3</c:v>
                </c:pt>
                <c:pt idx="592">
                  <c:v>-4.1086832562770459E-2</c:v>
                </c:pt>
                <c:pt idx="593">
                  <c:v>1.8302382526709238E-3</c:v>
                </c:pt>
                <c:pt idx="594">
                  <c:v>-1.2984083166359128E-2</c:v>
                </c:pt>
                <c:pt idx="595">
                  <c:v>8.9572702280193983E-3</c:v>
                </c:pt>
                <c:pt idx="596">
                  <c:v>3.4986541473283506E-2</c:v>
                </c:pt>
                <c:pt idx="597">
                  <c:v>-1.5193106189825833E-3</c:v>
                </c:pt>
                <c:pt idx="598">
                  <c:v>-1.7434857531584691E-2</c:v>
                </c:pt>
                <c:pt idx="599">
                  <c:v>1.1711205011617043E-2</c:v>
                </c:pt>
                <c:pt idx="600">
                  <c:v>1.6008128652165388E-2</c:v>
                </c:pt>
                <c:pt idx="601">
                  <c:v>-7.4698663320297287E-3</c:v>
                </c:pt>
                <c:pt idx="602">
                  <c:v>2.6562924794636178E-2</c:v>
                </c:pt>
                <c:pt idx="603">
                  <c:v>9.7341710603737752E-3</c:v>
                </c:pt>
                <c:pt idx="604">
                  <c:v>-3.9661062396800784E-4</c:v>
                </c:pt>
                <c:pt idx="605">
                  <c:v>1.5534383012459463E-2</c:v>
                </c:pt>
                <c:pt idx="606">
                  <c:v>-1.2081108940646179E-2</c:v>
                </c:pt>
                <c:pt idx="607">
                  <c:v>1.2167857713483166E-3</c:v>
                </c:pt>
                <c:pt idx="608">
                  <c:v>6.0732840204025251E-5</c:v>
                </c:pt>
                <c:pt idx="609">
                  <c:v>-9.4485342752277379E-3</c:v>
                </c:pt>
                <c:pt idx="610">
                  <c:v>1.3219227337219142E-2</c:v>
                </c:pt>
                <c:pt idx="611">
                  <c:v>1.8858728278636772E-2</c:v>
                </c:pt>
                <c:pt idx="612">
                  <c:v>-8.616061893186755E-3</c:v>
                </c:pt>
                <c:pt idx="613">
                  <c:v>-1.027928875555939E-2</c:v>
                </c:pt>
                <c:pt idx="614">
                  <c:v>6.6918728236184943E-3</c:v>
                </c:pt>
                <c:pt idx="615">
                  <c:v>-3.6093997247325094E-3</c:v>
                </c:pt>
                <c:pt idx="616">
                  <c:v>1.6633396225520736E-2</c:v>
                </c:pt>
                <c:pt idx="617">
                  <c:v>-5.9355051378995327E-5</c:v>
                </c:pt>
                <c:pt idx="618">
                  <c:v>-1.6837455085374819E-2</c:v>
                </c:pt>
                <c:pt idx="619">
                  <c:v>1.6400939993996166E-2</c:v>
                </c:pt>
                <c:pt idx="620">
                  <c:v>-2.035602447606244E-2</c:v>
                </c:pt>
                <c:pt idx="621">
                  <c:v>7.9779317117281145E-3</c:v>
                </c:pt>
                <c:pt idx="622">
                  <c:v>2.028345667172915E-2</c:v>
                </c:pt>
                <c:pt idx="623">
                  <c:v>4.6013538760620865E-3</c:v>
                </c:pt>
                <c:pt idx="624">
                  <c:v>7.6044423806271855E-3</c:v>
                </c:pt>
                <c:pt idx="625">
                  <c:v>-5.2741944079472969E-3</c:v>
                </c:pt>
                <c:pt idx="626">
                  <c:v>4.1802209359378395E-2</c:v>
                </c:pt>
                <c:pt idx="627">
                  <c:v>-1.0544370267220882E-2</c:v>
                </c:pt>
                <c:pt idx="628">
                  <c:v>-1.187877979430596E-2</c:v>
                </c:pt>
                <c:pt idx="629">
                  <c:v>1.9211481328990532E-2</c:v>
                </c:pt>
                <c:pt idx="630">
                  <c:v>8.7473401303372889E-4</c:v>
                </c:pt>
                <c:pt idx="631">
                  <c:v>-5.4130615591860831E-3</c:v>
                </c:pt>
                <c:pt idx="632">
                  <c:v>-6.4913232226637696E-3</c:v>
                </c:pt>
                <c:pt idx="633">
                  <c:v>-1.3809227476082819E-2</c:v>
                </c:pt>
                <c:pt idx="634">
                  <c:v>1.3800142001449078E-2</c:v>
                </c:pt>
                <c:pt idx="635">
                  <c:v>7.8191624289449813E-3</c:v>
                </c:pt>
                <c:pt idx="636">
                  <c:v>-3.0298108162895021E-3</c:v>
                </c:pt>
                <c:pt idx="637">
                  <c:v>-1.2667190350957869E-2</c:v>
                </c:pt>
                <c:pt idx="638">
                  <c:v>-9.1189309162192922E-3</c:v>
                </c:pt>
                <c:pt idx="639">
                  <c:v>-9.5801750166102373E-3</c:v>
                </c:pt>
                <c:pt idx="640">
                  <c:v>-1.2340227314571184E-2</c:v>
                </c:pt>
                <c:pt idx="641">
                  <c:v>1.3978310824336759E-2</c:v>
                </c:pt>
                <c:pt idx="642">
                  <c:v>1.3375891080303237E-2</c:v>
                </c:pt>
                <c:pt idx="643">
                  <c:v>1.4325710777278733E-2</c:v>
                </c:pt>
                <c:pt idx="644">
                  <c:v>5.2962803308962192E-2</c:v>
                </c:pt>
                <c:pt idx="645">
                  <c:v>7.2202653803985495E-3</c:v>
                </c:pt>
                <c:pt idx="646">
                  <c:v>-1.2484543608336174E-2</c:v>
                </c:pt>
                <c:pt idx="647">
                  <c:v>1.4871811613995201E-2</c:v>
                </c:pt>
                <c:pt idx="648">
                  <c:v>-4.0077132554857342E-2</c:v>
                </c:pt>
                <c:pt idx="649">
                  <c:v>-5.6374719818533814E-3</c:v>
                </c:pt>
                <c:pt idx="650">
                  <c:v>-1.2208745850420755E-2</c:v>
                </c:pt>
                <c:pt idx="651">
                  <c:v>-2.0173944474820571E-3</c:v>
                </c:pt>
                <c:pt idx="652">
                  <c:v>2.1865457290327406E-2</c:v>
                </c:pt>
                <c:pt idx="653">
                  <c:v>1.1283817712332667E-2</c:v>
                </c:pt>
                <c:pt idx="654">
                  <c:v>1.487751049707331E-3</c:v>
                </c:pt>
                <c:pt idx="655">
                  <c:v>-5.2268849487804303E-3</c:v>
                </c:pt>
                <c:pt idx="656">
                  <c:v>-1.3273416661877535E-3</c:v>
                </c:pt>
                <c:pt idx="657">
                  <c:v>-3.2398692542868757E-3</c:v>
                </c:pt>
                <c:pt idx="658">
                  <c:v>7.4730610825022303E-3</c:v>
                </c:pt>
                <c:pt idx="659">
                  <c:v>1.4614614884014276E-3</c:v>
                </c:pt>
                <c:pt idx="660">
                  <c:v>9.3066938299104507E-3</c:v>
                </c:pt>
                <c:pt idx="661">
                  <c:v>-2.2124579998497262E-2</c:v>
                </c:pt>
                <c:pt idx="662">
                  <c:v>-8.3693678325221788E-3</c:v>
                </c:pt>
                <c:pt idx="663">
                  <c:v>-9.2844841428785241E-4</c:v>
                </c:pt>
                <c:pt idx="664">
                  <c:v>1.1967785705786493E-2</c:v>
                </c:pt>
                <c:pt idx="665">
                  <c:v>1.1074967457981533E-2</c:v>
                </c:pt>
                <c:pt idx="666">
                  <c:v>5.9446923471360158E-3</c:v>
                </c:pt>
                <c:pt idx="667">
                  <c:v>7.8794148483101178E-3</c:v>
                </c:pt>
                <c:pt idx="668">
                  <c:v>-1.0885229883334402E-2</c:v>
                </c:pt>
                <c:pt idx="669">
                  <c:v>2.2641198437878041E-2</c:v>
                </c:pt>
                <c:pt idx="670">
                  <c:v>2.1549523367019319E-2</c:v>
                </c:pt>
                <c:pt idx="671">
                  <c:v>-3.3625781183989067E-3</c:v>
                </c:pt>
                <c:pt idx="672">
                  <c:v>7.0377536106573935E-3</c:v>
                </c:pt>
                <c:pt idx="673">
                  <c:v>-1.7720165456463821E-2</c:v>
                </c:pt>
                <c:pt idx="674">
                  <c:v>2.6114128187260111E-3</c:v>
                </c:pt>
                <c:pt idx="675">
                  <c:v>1.5733755495302315E-2</c:v>
                </c:pt>
                <c:pt idx="676">
                  <c:v>-1.2062342572705109E-2</c:v>
                </c:pt>
                <c:pt idx="677">
                  <c:v>1.1388431073129368E-3</c:v>
                </c:pt>
                <c:pt idx="678">
                  <c:v>1.8254021164021417E-3</c:v>
                </c:pt>
                <c:pt idx="679">
                  <c:v>-5.756666372195296E-3</c:v>
                </c:pt>
                <c:pt idx="680">
                  <c:v>5.3090221957097228E-5</c:v>
                </c:pt>
                <c:pt idx="681">
                  <c:v>-6.9316814249373859E-3</c:v>
                </c:pt>
                <c:pt idx="682">
                  <c:v>-2.2999972456675399E-3</c:v>
                </c:pt>
                <c:pt idx="683">
                  <c:v>-2.235564532437484E-2</c:v>
                </c:pt>
                <c:pt idx="684">
                  <c:v>-2.4731270495911173E-2</c:v>
                </c:pt>
                <c:pt idx="685">
                  <c:v>5.0042140566470827E-3</c:v>
                </c:pt>
                <c:pt idx="686">
                  <c:v>-3.9918371827508903E-2</c:v>
                </c:pt>
                <c:pt idx="687">
                  <c:v>8.0125872559462241E-3</c:v>
                </c:pt>
                <c:pt idx="688">
                  <c:v>2.023355353827605E-2</c:v>
                </c:pt>
                <c:pt idx="689">
                  <c:v>1.7565616948354013E-3</c:v>
                </c:pt>
                <c:pt idx="690">
                  <c:v>-3.6568792000097106E-2</c:v>
                </c:pt>
                <c:pt idx="691">
                  <c:v>-3.0530134105917206E-3</c:v>
                </c:pt>
                <c:pt idx="692">
                  <c:v>-6.4771358239068544E-4</c:v>
                </c:pt>
                <c:pt idx="693">
                  <c:v>1.0666180028896965E-2</c:v>
                </c:pt>
                <c:pt idx="694">
                  <c:v>-4.8919852222388593E-2</c:v>
                </c:pt>
                <c:pt idx="695">
                  <c:v>2.0629555139241917E-2</c:v>
                </c:pt>
                <c:pt idx="696">
                  <c:v>2.0423594977811987E-3</c:v>
                </c:pt>
                <c:pt idx="697">
                  <c:v>-1.3247853378738128E-2</c:v>
                </c:pt>
                <c:pt idx="698">
                  <c:v>2.5210710086838173E-3</c:v>
                </c:pt>
                <c:pt idx="699">
                  <c:v>-1.3937210020440793E-2</c:v>
                </c:pt>
                <c:pt idx="700">
                  <c:v>-5.1621537503584447E-3</c:v>
                </c:pt>
                <c:pt idx="701">
                  <c:v>2.3782933136522466E-3</c:v>
                </c:pt>
                <c:pt idx="702">
                  <c:v>1.2294293120574729E-2</c:v>
                </c:pt>
                <c:pt idx="703">
                  <c:v>-1.1475326489134297E-2</c:v>
                </c:pt>
                <c:pt idx="704">
                  <c:v>3.2577859570825707E-2</c:v>
                </c:pt>
                <c:pt idx="705">
                  <c:v>1.3866505801473084E-2</c:v>
                </c:pt>
                <c:pt idx="706">
                  <c:v>2.323624292585702E-3</c:v>
                </c:pt>
                <c:pt idx="707">
                  <c:v>3.2279065767588655E-3</c:v>
                </c:pt>
                <c:pt idx="708">
                  <c:v>-5.0514858276078489E-2</c:v>
                </c:pt>
                <c:pt idx="709">
                  <c:v>1.2568981819829128E-2</c:v>
                </c:pt>
                <c:pt idx="710">
                  <c:v>-3.9185870947178958E-2</c:v>
                </c:pt>
                <c:pt idx="711">
                  <c:v>-1.1367585012302173E-2</c:v>
                </c:pt>
                <c:pt idx="712">
                  <c:v>1.5053526311403553E-2</c:v>
                </c:pt>
                <c:pt idx="713">
                  <c:v>2.0983193636307185E-2</c:v>
                </c:pt>
                <c:pt idx="714">
                  <c:v>1.9810253921340726E-2</c:v>
                </c:pt>
                <c:pt idx="715">
                  <c:v>-5.7579972624461906E-3</c:v>
                </c:pt>
                <c:pt idx="716">
                  <c:v>1.0790076018870387E-2</c:v>
                </c:pt>
                <c:pt idx="717">
                  <c:v>1.275559695970685E-2</c:v>
                </c:pt>
                <c:pt idx="718">
                  <c:v>1.5721300895257251E-2</c:v>
                </c:pt>
                <c:pt idx="719">
                  <c:v>-7.3579279547689724E-3</c:v>
                </c:pt>
                <c:pt idx="720">
                  <c:v>-9.5977793632653352E-3</c:v>
                </c:pt>
                <c:pt idx="721">
                  <c:v>-2.3049110281914142E-2</c:v>
                </c:pt>
                <c:pt idx="722">
                  <c:v>3.051367214714773E-4</c:v>
                </c:pt>
                <c:pt idx="723">
                  <c:v>4.0123345948720024E-2</c:v>
                </c:pt>
                <c:pt idx="724">
                  <c:v>1.9566378322932065E-2</c:v>
                </c:pt>
                <c:pt idx="725">
                  <c:v>-1.323514508709378E-2</c:v>
                </c:pt>
                <c:pt idx="726">
                  <c:v>-6.3855903238578815E-3</c:v>
                </c:pt>
                <c:pt idx="727">
                  <c:v>-6.1037857415313646E-3</c:v>
                </c:pt>
                <c:pt idx="728">
                  <c:v>1.9516330452529873E-2</c:v>
                </c:pt>
                <c:pt idx="729">
                  <c:v>-1.2423915867613489E-2</c:v>
                </c:pt>
                <c:pt idx="730">
                  <c:v>-1.10260986180436E-2</c:v>
                </c:pt>
                <c:pt idx="731">
                  <c:v>1.1297251297257338E-2</c:v>
                </c:pt>
                <c:pt idx="732">
                  <c:v>-2.3280370159387553E-2</c:v>
                </c:pt>
                <c:pt idx="733">
                  <c:v>1.4739445466189993E-2</c:v>
                </c:pt>
                <c:pt idx="734">
                  <c:v>-4.0144389669983016E-2</c:v>
                </c:pt>
                <c:pt idx="735">
                  <c:v>-4.2717084954859597E-2</c:v>
                </c:pt>
                <c:pt idx="736">
                  <c:v>-6.7608176414524213E-4</c:v>
                </c:pt>
                <c:pt idx="737">
                  <c:v>-1.1437284797966241E-2</c:v>
                </c:pt>
                <c:pt idx="738">
                  <c:v>3.5947070602881936E-2</c:v>
                </c:pt>
                <c:pt idx="739">
                  <c:v>1.5540954093512305E-2</c:v>
                </c:pt>
                <c:pt idx="740">
                  <c:v>2.4007930510256292E-2</c:v>
                </c:pt>
                <c:pt idx="741">
                  <c:v>-2.2385981500400165E-3</c:v>
                </c:pt>
                <c:pt idx="742">
                  <c:v>-2.122581969382642E-4</c:v>
                </c:pt>
                <c:pt idx="743">
                  <c:v>1.4374495830174361E-2</c:v>
                </c:pt>
                <c:pt idx="744">
                  <c:v>-2.2422195653747368E-3</c:v>
                </c:pt>
                <c:pt idx="745">
                  <c:v>2.3731090781179853E-2</c:v>
                </c:pt>
                <c:pt idx="746">
                  <c:v>-1.9785780954331478E-2</c:v>
                </c:pt>
                <c:pt idx="747">
                  <c:v>-3.3143774854770269E-3</c:v>
                </c:pt>
                <c:pt idx="748">
                  <c:v>-2.4985759834411314E-2</c:v>
                </c:pt>
                <c:pt idx="749">
                  <c:v>2.6885849369702841E-2</c:v>
                </c:pt>
                <c:pt idx="750">
                  <c:v>-1.1220825449880567E-2</c:v>
                </c:pt>
                <c:pt idx="751">
                  <c:v>1.4495317978683975E-2</c:v>
                </c:pt>
                <c:pt idx="752">
                  <c:v>3.2633347232828847E-2</c:v>
                </c:pt>
                <c:pt idx="753">
                  <c:v>1.155699370529728E-4</c:v>
                </c:pt>
                <c:pt idx="754">
                  <c:v>-9.4737421019186474E-3</c:v>
                </c:pt>
                <c:pt idx="755">
                  <c:v>4.1406164102140153E-3</c:v>
                </c:pt>
                <c:pt idx="756">
                  <c:v>-2.3260481324506976E-2</c:v>
                </c:pt>
                <c:pt idx="757">
                  <c:v>6.5110835764337072E-3</c:v>
                </c:pt>
                <c:pt idx="758">
                  <c:v>-5.9372893795841541E-3</c:v>
                </c:pt>
                <c:pt idx="759">
                  <c:v>-3.6727739092288103E-2</c:v>
                </c:pt>
                <c:pt idx="760">
                  <c:v>2.5572932928870307E-2</c:v>
                </c:pt>
                <c:pt idx="761">
                  <c:v>-2.0152259463906974E-3</c:v>
                </c:pt>
                <c:pt idx="762">
                  <c:v>-1.1211916872397532E-2</c:v>
                </c:pt>
                <c:pt idx="763">
                  <c:v>1.9203181837954553E-2</c:v>
                </c:pt>
                <c:pt idx="764">
                  <c:v>-3.3196309973925198E-3</c:v>
                </c:pt>
                <c:pt idx="765">
                  <c:v>-2.034447217354407E-2</c:v>
                </c:pt>
                <c:pt idx="766">
                  <c:v>1.6601270575183902E-2</c:v>
                </c:pt>
                <c:pt idx="767">
                  <c:v>-4.1428141755254111E-2</c:v>
                </c:pt>
                <c:pt idx="768">
                  <c:v>4.5261732741066485E-3</c:v>
                </c:pt>
                <c:pt idx="769">
                  <c:v>-9.4808912604384954E-3</c:v>
                </c:pt>
                <c:pt idx="770">
                  <c:v>-4.2298411310957906E-2</c:v>
                </c:pt>
                <c:pt idx="771">
                  <c:v>1.827350253139981E-2</c:v>
                </c:pt>
                <c:pt idx="772">
                  <c:v>-2.7728279775694142E-2</c:v>
                </c:pt>
                <c:pt idx="773">
                  <c:v>-1.8390768316990269E-2</c:v>
                </c:pt>
                <c:pt idx="774">
                  <c:v>3.3974815294213201E-5</c:v>
                </c:pt>
                <c:pt idx="775">
                  <c:v>2.399530152073881E-2</c:v>
                </c:pt>
                <c:pt idx="776">
                  <c:v>3.8281857891805826E-2</c:v>
                </c:pt>
                <c:pt idx="777">
                  <c:v>1.8323404892951256E-2</c:v>
                </c:pt>
                <c:pt idx="778">
                  <c:v>1.2539184952978122E-2</c:v>
                </c:pt>
                <c:pt idx="779">
                  <c:v>-0.26390094427244581</c:v>
                </c:pt>
                <c:pt idx="780">
                  <c:v>-2.8179635518582602E-3</c:v>
                </c:pt>
                <c:pt idx="781">
                  <c:v>-5.1372863492730514E-2</c:v>
                </c:pt>
                <c:pt idx="782">
                  <c:v>-2.1030683010436424E-2</c:v>
                </c:pt>
                <c:pt idx="783">
                  <c:v>5.3683383485256142E-2</c:v>
                </c:pt>
                <c:pt idx="784">
                  <c:v>-1.6939625000000014E-2</c:v>
                </c:pt>
                <c:pt idx="785">
                  <c:v>-3.7356968204942387E-2</c:v>
                </c:pt>
                <c:pt idx="786">
                  <c:v>-8.4263537905758801E-3</c:v>
                </c:pt>
                <c:pt idx="787">
                  <c:v>1.5158488954871263E-2</c:v>
                </c:pt>
                <c:pt idx="788">
                  <c:v>-2.018102714932124E-2</c:v>
                </c:pt>
                <c:pt idx="789">
                  <c:v>-4.0777622081109133E-2</c:v>
                </c:pt>
                <c:pt idx="790">
                  <c:v>-7.4623414749583894E-3</c:v>
                </c:pt>
                <c:pt idx="791">
                  <c:v>-1.9790463333518304E-2</c:v>
                </c:pt>
                <c:pt idx="792">
                  <c:v>-1.7963207462755371E-2</c:v>
                </c:pt>
                <c:pt idx="793">
                  <c:v>4.6107377870103994E-2</c:v>
                </c:pt>
                <c:pt idx="794">
                  <c:v>1.3872783799437904E-2</c:v>
                </c:pt>
                <c:pt idx="795">
                  <c:v>2.6130891792681687E-3</c:v>
                </c:pt>
                <c:pt idx="796">
                  <c:v>-3.5729488867599413E-2</c:v>
                </c:pt>
                <c:pt idx="797">
                  <c:v>2.2703798154607213E-2</c:v>
                </c:pt>
                <c:pt idx="798">
                  <c:v>-2.4698476648414514E-2</c:v>
                </c:pt>
                <c:pt idx="799">
                  <c:v>-1.4337108861717907E-2</c:v>
                </c:pt>
                <c:pt idx="800">
                  <c:v>-6.2931106297421935E-2</c:v>
                </c:pt>
                <c:pt idx="801">
                  <c:v>1.5042364031352395E-2</c:v>
                </c:pt>
                <c:pt idx="802">
                  <c:v>4.3144712291833365E-2</c:v>
                </c:pt>
                <c:pt idx="803">
                  <c:v>-1.6574272040302263E-2</c:v>
                </c:pt>
                <c:pt idx="804">
                  <c:v>-3.8932461080235403E-2</c:v>
                </c:pt>
                <c:pt idx="805">
                  <c:v>-5.2235808047355059E-3</c:v>
                </c:pt>
                <c:pt idx="806">
                  <c:v>2.8934222018586864E-2</c:v>
                </c:pt>
                <c:pt idx="807">
                  <c:v>6.0407259596975793E-2</c:v>
                </c:pt>
                <c:pt idx="808">
                  <c:v>2.0674708523432006E-2</c:v>
                </c:pt>
                <c:pt idx="809">
                  <c:v>4.161859683638558E-2</c:v>
                </c:pt>
                <c:pt idx="810">
                  <c:v>-2.3095754466817109E-2</c:v>
                </c:pt>
                <c:pt idx="811">
                  <c:v>2.4398264116547663E-2</c:v>
                </c:pt>
                <c:pt idx="812">
                  <c:v>-1.4724149957742405E-2</c:v>
                </c:pt>
                <c:pt idx="813">
                  <c:v>2.8623628781198507E-2</c:v>
                </c:pt>
                <c:pt idx="814">
                  <c:v>1.0247301217237714E-2</c:v>
                </c:pt>
                <c:pt idx="815">
                  <c:v>7.9793929498883642E-3</c:v>
                </c:pt>
                <c:pt idx="816">
                  <c:v>2.8042421897981562E-2</c:v>
                </c:pt>
                <c:pt idx="817">
                  <c:v>-8.7444313549793762E-3</c:v>
                </c:pt>
                <c:pt idx="818">
                  <c:v>-2.4094820519776516E-2</c:v>
                </c:pt>
                <c:pt idx="819">
                  <c:v>1.1198079640231784E-2</c:v>
                </c:pt>
                <c:pt idx="820">
                  <c:v>4.0204548626963321E-2</c:v>
                </c:pt>
                <c:pt idx="821">
                  <c:v>-8.7648168316935005E-3</c:v>
                </c:pt>
                <c:pt idx="822">
                  <c:v>-3.6835719234570741E-2</c:v>
                </c:pt>
                <c:pt idx="823">
                  <c:v>-1.5674249677462004E-3</c:v>
                </c:pt>
                <c:pt idx="824">
                  <c:v>-2.7808701876770314E-3</c:v>
                </c:pt>
                <c:pt idx="825">
                  <c:v>-2.6402172208859209E-2</c:v>
                </c:pt>
                <c:pt idx="826">
                  <c:v>-1.0717952161943711E-2</c:v>
                </c:pt>
                <c:pt idx="827">
                  <c:v>3.9693938730243072E-3</c:v>
                </c:pt>
                <c:pt idx="828">
                  <c:v>-2.2373188930341237E-2</c:v>
                </c:pt>
                <c:pt idx="829">
                  <c:v>2.8071701382157421E-3</c:v>
                </c:pt>
                <c:pt idx="830">
                  <c:v>3.1029054779540655E-2</c:v>
                </c:pt>
                <c:pt idx="831">
                  <c:v>-7.7723069142911716E-2</c:v>
                </c:pt>
                <c:pt idx="832">
                  <c:v>-6.1620552456047806E-2</c:v>
                </c:pt>
                <c:pt idx="833">
                  <c:v>-2.1056020910341089E-2</c:v>
                </c:pt>
                <c:pt idx="834">
                  <c:v>1.5642843867020417E-2</c:v>
                </c:pt>
                <c:pt idx="835">
                  <c:v>-3.230123449646416E-2</c:v>
                </c:pt>
                <c:pt idx="836">
                  <c:v>-3.3158331580408928E-2</c:v>
                </c:pt>
                <c:pt idx="837">
                  <c:v>0.17593597901004832</c:v>
                </c:pt>
                <c:pt idx="838">
                  <c:v>-2.5567467565595026E-2</c:v>
                </c:pt>
                <c:pt idx="839">
                  <c:v>5.3175058347009418E-2</c:v>
                </c:pt>
                <c:pt idx="840">
                  <c:v>4.2627479689587577E-3</c:v>
                </c:pt>
                <c:pt idx="841">
                  <c:v>5.3671674072874875E-2</c:v>
                </c:pt>
                <c:pt idx="842">
                  <c:v>-6.7723041623507507E-2</c:v>
                </c:pt>
                <c:pt idx="843">
                  <c:v>-2.1653519404904564E-2</c:v>
                </c:pt>
                <c:pt idx="844">
                  <c:v>-3.7100637245902068E-2</c:v>
                </c:pt>
                <c:pt idx="845">
                  <c:v>7.3390089629832289E-3</c:v>
                </c:pt>
                <c:pt idx="846">
                  <c:v>-4.5079632028726446E-2</c:v>
                </c:pt>
                <c:pt idx="847">
                  <c:v>1.3245734522471908E-2</c:v>
                </c:pt>
                <c:pt idx="848">
                  <c:v>3.8590199785865975E-2</c:v>
                </c:pt>
                <c:pt idx="849">
                  <c:v>7.1493204901149632E-3</c:v>
                </c:pt>
                <c:pt idx="850">
                  <c:v>1.2897430965217005E-2</c:v>
                </c:pt>
                <c:pt idx="851">
                  <c:v>-5.1228853302459076E-2</c:v>
                </c:pt>
                <c:pt idx="852">
                  <c:v>-4.9418017857416618E-3</c:v>
                </c:pt>
                <c:pt idx="853">
                  <c:v>1.1762246235222484E-2</c:v>
                </c:pt>
                <c:pt idx="854">
                  <c:v>1.3898951623915634E-2</c:v>
                </c:pt>
                <c:pt idx="855">
                  <c:v>-7.6186094403222659E-2</c:v>
                </c:pt>
                <c:pt idx="856">
                  <c:v>1.4066653872830237E-2</c:v>
                </c:pt>
                <c:pt idx="857">
                  <c:v>4.243052230397093E-2</c:v>
                </c:pt>
                <c:pt idx="858">
                  <c:v>1.8264363140834794E-2</c:v>
                </c:pt>
                <c:pt idx="859">
                  <c:v>-7.6359655707487484E-3</c:v>
                </c:pt>
                <c:pt idx="860">
                  <c:v>-2.5821111473978031E-2</c:v>
                </c:pt>
                <c:pt idx="861">
                  <c:v>5.4177279761330022E-2</c:v>
                </c:pt>
                <c:pt idx="862">
                  <c:v>-4.0631609973692084E-2</c:v>
                </c:pt>
                <c:pt idx="863">
                  <c:v>1.8188494696448787E-2</c:v>
                </c:pt>
                <c:pt idx="864">
                  <c:v>7.2071763191763338E-3</c:v>
                </c:pt>
                <c:pt idx="865">
                  <c:v>5.0600819338639802E-3</c:v>
                </c:pt>
                <c:pt idx="866">
                  <c:v>-6.4279897601097868E-2</c:v>
                </c:pt>
                <c:pt idx="867">
                  <c:v>-4.5815179347826085E-2</c:v>
                </c:pt>
                <c:pt idx="868">
                  <c:v>-6.4418816136403101E-2</c:v>
                </c:pt>
                <c:pt idx="869">
                  <c:v>-3.2265859986176926E-3</c:v>
                </c:pt>
                <c:pt idx="870">
                  <c:v>3.4324864944112132E-2</c:v>
                </c:pt>
                <c:pt idx="871">
                  <c:v>-5.0073874812853636E-2</c:v>
                </c:pt>
                <c:pt idx="872">
                  <c:v>1.7840555039490225E-2</c:v>
                </c:pt>
                <c:pt idx="873">
                  <c:v>-4.0857467910789369E-2</c:v>
                </c:pt>
                <c:pt idx="874">
                  <c:v>-7.6408594528966089E-3</c:v>
                </c:pt>
                <c:pt idx="875">
                  <c:v>1.8607596332078424E-2</c:v>
                </c:pt>
                <c:pt idx="876">
                  <c:v>7.1874040944881701E-2</c:v>
                </c:pt>
                <c:pt idx="877">
                  <c:v>-3.9374646465099028E-3</c:v>
                </c:pt>
                <c:pt idx="878">
                  <c:v>-5.197953708243741E-2</c:v>
                </c:pt>
                <c:pt idx="879">
                  <c:v>2.0288829611786241E-2</c:v>
                </c:pt>
                <c:pt idx="880">
                  <c:v>-1.6408454112377013E-2</c:v>
                </c:pt>
                <c:pt idx="881">
                  <c:v>-7.5658976744186202E-3</c:v>
                </c:pt>
                <c:pt idx="882">
                  <c:v>5.0990458357748292E-2</c:v>
                </c:pt>
                <c:pt idx="883">
                  <c:v>9.39414936210059E-3</c:v>
                </c:pt>
                <c:pt idx="884">
                  <c:v>1.4254567609010449E-2</c:v>
                </c:pt>
                <c:pt idx="885">
                  <c:v>-7.6078575107977331E-3</c:v>
                </c:pt>
                <c:pt idx="886">
                  <c:v>-4.6816478030884845E-2</c:v>
                </c:pt>
                <c:pt idx="887">
                  <c:v>2.3943945728635008E-3</c:v>
                </c:pt>
                <c:pt idx="888">
                  <c:v>1.3474673523006242E-3</c:v>
                </c:pt>
                <c:pt idx="889">
                  <c:v>-3.3274217589020161E-2</c:v>
                </c:pt>
                <c:pt idx="890">
                  <c:v>4.207525386760036E-2</c:v>
                </c:pt>
                <c:pt idx="891">
                  <c:v>1.5361257110405369E-2</c:v>
                </c:pt>
                <c:pt idx="892">
                  <c:v>5.1127209259755002E-2</c:v>
                </c:pt>
                <c:pt idx="893">
                  <c:v>4.1586056670759319E-2</c:v>
                </c:pt>
                <c:pt idx="894">
                  <c:v>4.3695451279579522E-4</c:v>
                </c:pt>
                <c:pt idx="895">
                  <c:v>-7.5885757229740225E-2</c:v>
                </c:pt>
                <c:pt idx="896">
                  <c:v>-1.5478288758119296E-2</c:v>
                </c:pt>
                <c:pt idx="897">
                  <c:v>-4.5004502070369101E-2</c:v>
                </c:pt>
                <c:pt idx="898">
                  <c:v>6.5535710921861723E-2</c:v>
                </c:pt>
                <c:pt idx="899">
                  <c:v>-5.2246732489129255E-2</c:v>
                </c:pt>
                <c:pt idx="900">
                  <c:v>-1.0079610440022257E-2</c:v>
                </c:pt>
                <c:pt idx="901">
                  <c:v>5.2167628453765325E-3</c:v>
                </c:pt>
                <c:pt idx="902">
                  <c:v>1.6257675944499894E-3</c:v>
                </c:pt>
                <c:pt idx="903">
                  <c:v>5.3748679021803136E-2</c:v>
                </c:pt>
                <c:pt idx="904">
                  <c:v>1.0485805500844769E-2</c:v>
                </c:pt>
                <c:pt idx="905">
                  <c:v>-2.0284961353141062E-2</c:v>
                </c:pt>
                <c:pt idx="906">
                  <c:v>1.879001245413181E-2</c:v>
                </c:pt>
                <c:pt idx="907">
                  <c:v>-1.0102795888399352E-2</c:v>
                </c:pt>
                <c:pt idx="908">
                  <c:v>5.820920345463243E-2</c:v>
                </c:pt>
                <c:pt idx="909">
                  <c:v>-4.7661266068438346E-3</c:v>
                </c:pt>
                <c:pt idx="910">
                  <c:v>1.6958673250361267E-2</c:v>
                </c:pt>
                <c:pt idx="911">
                  <c:v>2.1606592797782653E-3</c:v>
                </c:pt>
                <c:pt idx="912">
                  <c:v>-7.8500636179449357E-3</c:v>
                </c:pt>
                <c:pt idx="913">
                  <c:v>-2.5742435918301387E-2</c:v>
                </c:pt>
                <c:pt idx="914">
                  <c:v>-1.0866570973981915E-3</c:v>
                </c:pt>
                <c:pt idx="915">
                  <c:v>-3.8360224702617018E-2</c:v>
                </c:pt>
                <c:pt idx="916">
                  <c:v>-2.9233173347033681E-2</c:v>
                </c:pt>
                <c:pt idx="917">
                  <c:v>-1.1898202786294942E-2</c:v>
                </c:pt>
                <c:pt idx="918">
                  <c:v>1.3344882295668326E-2</c:v>
                </c:pt>
                <c:pt idx="919">
                  <c:v>3.3811124397008507E-2</c:v>
                </c:pt>
                <c:pt idx="920">
                  <c:v>-4.1474108552400191E-2</c:v>
                </c:pt>
                <c:pt idx="921">
                  <c:v>-1.6133026431777941E-2</c:v>
                </c:pt>
                <c:pt idx="922">
                  <c:v>-1.26279702535399E-2</c:v>
                </c:pt>
                <c:pt idx="923">
                  <c:v>3.6714105708472777E-2</c:v>
                </c:pt>
                <c:pt idx="924">
                  <c:v>1.4914430150377633E-2</c:v>
                </c:pt>
                <c:pt idx="925">
                  <c:v>-3.0478918538468069E-2</c:v>
                </c:pt>
                <c:pt idx="926">
                  <c:v>-1.1102881251745411E-2</c:v>
                </c:pt>
                <c:pt idx="927">
                  <c:v>1.1669017797925507E-2</c:v>
                </c:pt>
                <c:pt idx="928">
                  <c:v>1.0412114286502572E-2</c:v>
                </c:pt>
                <c:pt idx="929">
                  <c:v>4.3749204538432673E-2</c:v>
                </c:pt>
                <c:pt idx="930">
                  <c:v>-1.1231865606805558E-3</c:v>
                </c:pt>
                <c:pt idx="931">
                  <c:v>-9.3690822349456804E-2</c:v>
                </c:pt>
                <c:pt idx="932">
                  <c:v>-1.0840488119882252E-2</c:v>
                </c:pt>
                <c:pt idx="933">
                  <c:v>-1.2675764094039921E-2</c:v>
                </c:pt>
                <c:pt idx="934">
                  <c:v>-2.1798795951879724E-2</c:v>
                </c:pt>
                <c:pt idx="935">
                  <c:v>1.1825901174251863E-2</c:v>
                </c:pt>
                <c:pt idx="936">
                  <c:v>-1.3038832237837195E-2</c:v>
                </c:pt>
                <c:pt idx="937">
                  <c:v>-2.7175036680814335E-2</c:v>
                </c:pt>
                <c:pt idx="938">
                  <c:v>4.925499751108342E-3</c:v>
                </c:pt>
                <c:pt idx="939">
                  <c:v>-1.6874407519109069E-2</c:v>
                </c:pt>
                <c:pt idx="940">
                  <c:v>-2.8772942702857573E-2</c:v>
                </c:pt>
                <c:pt idx="941">
                  <c:v>-1.4446000383002144E-2</c:v>
                </c:pt>
                <c:pt idx="942">
                  <c:v>5.3645887811572424E-2</c:v>
                </c:pt>
                <c:pt idx="943">
                  <c:v>-3.6720549136921687E-2</c:v>
                </c:pt>
                <c:pt idx="944">
                  <c:v>-5.3515943009575517E-3</c:v>
                </c:pt>
                <c:pt idx="945">
                  <c:v>2.1594989321675584E-2</c:v>
                </c:pt>
                <c:pt idx="946">
                  <c:v>1.2048178255189557E-2</c:v>
                </c:pt>
                <c:pt idx="947">
                  <c:v>-9.267201377724632E-3</c:v>
                </c:pt>
                <c:pt idx="948">
                  <c:v>6.4765435739411181E-4</c:v>
                </c:pt>
                <c:pt idx="949">
                  <c:v>-4.0411373532180828E-2</c:v>
                </c:pt>
                <c:pt idx="950">
                  <c:v>2.5477407841381083E-3</c:v>
                </c:pt>
                <c:pt idx="951">
                  <c:v>-3.9240602994874196E-2</c:v>
                </c:pt>
                <c:pt idx="952">
                  <c:v>-8.0908126391450175E-3</c:v>
                </c:pt>
                <c:pt idx="953">
                  <c:v>2.1882298039215708E-2</c:v>
                </c:pt>
                <c:pt idx="954">
                  <c:v>-2.7093339394069993E-2</c:v>
                </c:pt>
                <c:pt idx="955">
                  <c:v>5.7431294455170478E-2</c:v>
                </c:pt>
                <c:pt idx="956">
                  <c:v>-9.2508957382593238E-3</c:v>
                </c:pt>
                <c:pt idx="957">
                  <c:v>3.2378990232402316E-3</c:v>
                </c:pt>
                <c:pt idx="958">
                  <c:v>-1.27598667795501E-2</c:v>
                </c:pt>
                <c:pt idx="959">
                  <c:v>-1.1556329442380719E-2</c:v>
                </c:pt>
                <c:pt idx="960">
                  <c:v>-2.2305515818226151E-3</c:v>
                </c:pt>
                <c:pt idx="961">
                  <c:v>6.0052373881804177E-2</c:v>
                </c:pt>
                <c:pt idx="962">
                  <c:v>-5.5923120352087907E-2</c:v>
                </c:pt>
                <c:pt idx="963">
                  <c:v>-0.24557081559855409</c:v>
                </c:pt>
                <c:pt idx="964">
                  <c:v>1.2864968085256834E-2</c:v>
                </c:pt>
                <c:pt idx="965">
                  <c:v>-6.0887028051018977E-2</c:v>
                </c:pt>
                <c:pt idx="966">
                  <c:v>2.189773413921281E-2</c:v>
                </c:pt>
                <c:pt idx="967">
                  <c:v>-4.8949539357653449E-2</c:v>
                </c:pt>
                <c:pt idx="968">
                  <c:v>-1.8003059222409412E-2</c:v>
                </c:pt>
                <c:pt idx="969">
                  <c:v>2.1144943374426184E-2</c:v>
                </c:pt>
                <c:pt idx="970">
                  <c:v>6.5315562668624594E-2</c:v>
                </c:pt>
                <c:pt idx="971">
                  <c:v>-2.5847807838629278E-3</c:v>
                </c:pt>
                <c:pt idx="972">
                  <c:v>5.1829583789472444E-2</c:v>
                </c:pt>
                <c:pt idx="973">
                  <c:v>0.10249336648769725</c:v>
                </c:pt>
                <c:pt idx="974">
                  <c:v>1.0279735131499157E-2</c:v>
                </c:pt>
                <c:pt idx="975">
                  <c:v>1.0617625480913828E-2</c:v>
                </c:pt>
                <c:pt idx="976">
                  <c:v>2.5039406189464097E-2</c:v>
                </c:pt>
                <c:pt idx="977">
                  <c:v>-3.2883489359694429E-2</c:v>
                </c:pt>
                <c:pt idx="978">
                  <c:v>-1.5720268063580289E-2</c:v>
                </c:pt>
                <c:pt idx="979">
                  <c:v>5.3836340614707989E-3</c:v>
                </c:pt>
                <c:pt idx="980">
                  <c:v>-1.9544863376755206E-2</c:v>
                </c:pt>
                <c:pt idx="981">
                  <c:v>1.4381949623321066E-2</c:v>
                </c:pt>
                <c:pt idx="982">
                  <c:v>7.1787148747537444E-3</c:v>
                </c:pt>
                <c:pt idx="983">
                  <c:v>-7.3948148145903669E-3</c:v>
                </c:pt>
                <c:pt idx="984">
                  <c:v>-2.3606542550703047E-2</c:v>
                </c:pt>
                <c:pt idx="985">
                  <c:v>6.2511491657579743E-3</c:v>
                </c:pt>
                <c:pt idx="986">
                  <c:v>7.8932935126374337E-2</c:v>
                </c:pt>
                <c:pt idx="987">
                  <c:v>1.9813751393967127E-2</c:v>
                </c:pt>
                <c:pt idx="988">
                  <c:v>2.5323779054736262E-2</c:v>
                </c:pt>
                <c:pt idx="989">
                  <c:v>-8.5836749304991633E-3</c:v>
                </c:pt>
                <c:pt idx="990">
                  <c:v>-6.7875496201911356E-2</c:v>
                </c:pt>
                <c:pt idx="991">
                  <c:v>-1.6649403698314469E-3</c:v>
                </c:pt>
                <c:pt idx="992">
                  <c:v>1.2288264723953279E-2</c:v>
                </c:pt>
                <c:pt idx="993">
                  <c:v>4.9423392882625983E-3</c:v>
                </c:pt>
                <c:pt idx="994">
                  <c:v>-1.0267497665789604E-2</c:v>
                </c:pt>
                <c:pt idx="995">
                  <c:v>4.7423965194176354E-2</c:v>
                </c:pt>
                <c:pt idx="996">
                  <c:v>1.19849685895137E-2</c:v>
                </c:pt>
                <c:pt idx="997">
                  <c:v>-4.4740473550143101E-2</c:v>
                </c:pt>
                <c:pt idx="998">
                  <c:v>2.8239327968328398E-2</c:v>
                </c:pt>
                <c:pt idx="999">
                  <c:v>-4.1446847525747343E-2</c:v>
                </c:pt>
                <c:pt idx="1000">
                  <c:v>2.2798680394863435E-2</c:v>
                </c:pt>
                <c:pt idx="1001">
                  <c:v>2.2803024094389723E-2</c:v>
                </c:pt>
                <c:pt idx="1002">
                  <c:v>-2.2044079458181765E-2</c:v>
                </c:pt>
                <c:pt idx="1003">
                  <c:v>7.8551739791195008E-3</c:v>
                </c:pt>
                <c:pt idx="1004">
                  <c:v>-9.8272110316230954E-3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0-4F62-8E92-5047EA27B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528351"/>
        <c:axId val="679529183"/>
      </c:areaChart>
      <c:dateAx>
        <c:axId val="6795283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29183"/>
        <c:crosses val="autoZero"/>
        <c:auto val="1"/>
        <c:lblOffset val="100"/>
        <c:baseTimeUnit val="days"/>
      </c:dateAx>
      <c:valAx>
        <c:axId val="67952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528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META 2022 stock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META!$H$1</c:f>
              <c:strCache>
                <c:ptCount val="1"/>
                <c:pt idx="0">
                  <c:v>Meta stock return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META!$A$2:$A$1006</c:f>
              <c:numCache>
                <c:formatCode>m/d/yyyy</c:formatCode>
                <c:ptCount val="1005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43487</c:v>
                </c:pt>
                <c:pt idx="14">
                  <c:v>43488</c:v>
                </c:pt>
                <c:pt idx="15">
                  <c:v>43489</c:v>
                </c:pt>
                <c:pt idx="16">
                  <c:v>43490</c:v>
                </c:pt>
                <c:pt idx="17">
                  <c:v>43493</c:v>
                </c:pt>
                <c:pt idx="18">
                  <c:v>43494</c:v>
                </c:pt>
                <c:pt idx="19">
                  <c:v>43495</c:v>
                </c:pt>
                <c:pt idx="20">
                  <c:v>43496</c:v>
                </c:pt>
                <c:pt idx="21">
                  <c:v>43497</c:v>
                </c:pt>
                <c:pt idx="22">
                  <c:v>43500</c:v>
                </c:pt>
                <c:pt idx="23">
                  <c:v>43501</c:v>
                </c:pt>
                <c:pt idx="24">
                  <c:v>43502</c:v>
                </c:pt>
                <c:pt idx="25">
                  <c:v>43503</c:v>
                </c:pt>
                <c:pt idx="26">
                  <c:v>43504</c:v>
                </c:pt>
                <c:pt idx="27">
                  <c:v>43507</c:v>
                </c:pt>
                <c:pt idx="28">
                  <c:v>43508</c:v>
                </c:pt>
                <c:pt idx="29">
                  <c:v>43509</c:v>
                </c:pt>
                <c:pt idx="30">
                  <c:v>43510</c:v>
                </c:pt>
                <c:pt idx="31">
                  <c:v>43511</c:v>
                </c:pt>
                <c:pt idx="32">
                  <c:v>43515</c:v>
                </c:pt>
                <c:pt idx="33">
                  <c:v>43516</c:v>
                </c:pt>
                <c:pt idx="34">
                  <c:v>43517</c:v>
                </c:pt>
                <c:pt idx="35">
                  <c:v>43518</c:v>
                </c:pt>
                <c:pt idx="36">
                  <c:v>43521</c:v>
                </c:pt>
                <c:pt idx="37">
                  <c:v>43522</c:v>
                </c:pt>
                <c:pt idx="38">
                  <c:v>43523</c:v>
                </c:pt>
                <c:pt idx="39">
                  <c:v>43524</c:v>
                </c:pt>
                <c:pt idx="40">
                  <c:v>43525</c:v>
                </c:pt>
                <c:pt idx="41">
                  <c:v>43528</c:v>
                </c:pt>
                <c:pt idx="42">
                  <c:v>43529</c:v>
                </c:pt>
                <c:pt idx="43">
                  <c:v>43530</c:v>
                </c:pt>
                <c:pt idx="44">
                  <c:v>43531</c:v>
                </c:pt>
                <c:pt idx="45">
                  <c:v>43532</c:v>
                </c:pt>
                <c:pt idx="46">
                  <c:v>43535</c:v>
                </c:pt>
                <c:pt idx="47">
                  <c:v>43536</c:v>
                </c:pt>
                <c:pt idx="48">
                  <c:v>43537</c:v>
                </c:pt>
                <c:pt idx="49">
                  <c:v>43538</c:v>
                </c:pt>
                <c:pt idx="50">
                  <c:v>43539</c:v>
                </c:pt>
                <c:pt idx="51">
                  <c:v>43542</c:v>
                </c:pt>
                <c:pt idx="52">
                  <c:v>43543</c:v>
                </c:pt>
                <c:pt idx="53">
                  <c:v>43544</c:v>
                </c:pt>
                <c:pt idx="54">
                  <c:v>43545</c:v>
                </c:pt>
                <c:pt idx="55">
                  <c:v>43546</c:v>
                </c:pt>
                <c:pt idx="56">
                  <c:v>43549</c:v>
                </c:pt>
                <c:pt idx="57">
                  <c:v>43550</c:v>
                </c:pt>
                <c:pt idx="58">
                  <c:v>43551</c:v>
                </c:pt>
                <c:pt idx="59">
                  <c:v>43552</c:v>
                </c:pt>
                <c:pt idx="60">
                  <c:v>43553</c:v>
                </c:pt>
                <c:pt idx="61">
                  <c:v>43556</c:v>
                </c:pt>
                <c:pt idx="62">
                  <c:v>43557</c:v>
                </c:pt>
                <c:pt idx="63">
                  <c:v>43558</c:v>
                </c:pt>
                <c:pt idx="64">
                  <c:v>43559</c:v>
                </c:pt>
                <c:pt idx="65">
                  <c:v>43560</c:v>
                </c:pt>
                <c:pt idx="66">
                  <c:v>43563</c:v>
                </c:pt>
                <c:pt idx="67">
                  <c:v>43564</c:v>
                </c:pt>
                <c:pt idx="68">
                  <c:v>43565</c:v>
                </c:pt>
                <c:pt idx="69">
                  <c:v>43566</c:v>
                </c:pt>
                <c:pt idx="70">
                  <c:v>43567</c:v>
                </c:pt>
                <c:pt idx="71">
                  <c:v>43570</c:v>
                </c:pt>
                <c:pt idx="72">
                  <c:v>43571</c:v>
                </c:pt>
                <c:pt idx="73">
                  <c:v>43572</c:v>
                </c:pt>
                <c:pt idx="74">
                  <c:v>43573</c:v>
                </c:pt>
                <c:pt idx="75">
                  <c:v>43577</c:v>
                </c:pt>
                <c:pt idx="76">
                  <c:v>43578</c:v>
                </c:pt>
                <c:pt idx="77">
                  <c:v>43579</c:v>
                </c:pt>
                <c:pt idx="78">
                  <c:v>43580</c:v>
                </c:pt>
                <c:pt idx="79">
                  <c:v>43581</c:v>
                </c:pt>
                <c:pt idx="80">
                  <c:v>43584</c:v>
                </c:pt>
                <c:pt idx="81">
                  <c:v>43585</c:v>
                </c:pt>
                <c:pt idx="82">
                  <c:v>43586</c:v>
                </c:pt>
                <c:pt idx="83">
                  <c:v>43587</c:v>
                </c:pt>
                <c:pt idx="84">
                  <c:v>43588</c:v>
                </c:pt>
                <c:pt idx="85">
                  <c:v>43591</c:v>
                </c:pt>
                <c:pt idx="86">
                  <c:v>43592</c:v>
                </c:pt>
                <c:pt idx="87">
                  <c:v>43593</c:v>
                </c:pt>
                <c:pt idx="88">
                  <c:v>43594</c:v>
                </c:pt>
                <c:pt idx="89">
                  <c:v>43595</c:v>
                </c:pt>
                <c:pt idx="90">
                  <c:v>43598</c:v>
                </c:pt>
                <c:pt idx="91">
                  <c:v>43599</c:v>
                </c:pt>
                <c:pt idx="92">
                  <c:v>43600</c:v>
                </c:pt>
                <c:pt idx="93">
                  <c:v>43601</c:v>
                </c:pt>
                <c:pt idx="94">
                  <c:v>43602</c:v>
                </c:pt>
                <c:pt idx="95">
                  <c:v>43605</c:v>
                </c:pt>
                <c:pt idx="96">
                  <c:v>43606</c:v>
                </c:pt>
                <c:pt idx="97">
                  <c:v>43607</c:v>
                </c:pt>
                <c:pt idx="98">
                  <c:v>43608</c:v>
                </c:pt>
                <c:pt idx="99">
                  <c:v>43609</c:v>
                </c:pt>
                <c:pt idx="100">
                  <c:v>43613</c:v>
                </c:pt>
                <c:pt idx="101">
                  <c:v>43614</c:v>
                </c:pt>
                <c:pt idx="102">
                  <c:v>43615</c:v>
                </c:pt>
                <c:pt idx="103">
                  <c:v>43616</c:v>
                </c:pt>
                <c:pt idx="104">
                  <c:v>43619</c:v>
                </c:pt>
                <c:pt idx="105">
                  <c:v>43620</c:v>
                </c:pt>
                <c:pt idx="106">
                  <c:v>43621</c:v>
                </c:pt>
                <c:pt idx="107">
                  <c:v>43622</c:v>
                </c:pt>
                <c:pt idx="108">
                  <c:v>43623</c:v>
                </c:pt>
                <c:pt idx="109">
                  <c:v>43626</c:v>
                </c:pt>
                <c:pt idx="110">
                  <c:v>43627</c:v>
                </c:pt>
                <c:pt idx="111">
                  <c:v>43628</c:v>
                </c:pt>
                <c:pt idx="112">
                  <c:v>43629</c:v>
                </c:pt>
                <c:pt idx="113">
                  <c:v>43630</c:v>
                </c:pt>
                <c:pt idx="114">
                  <c:v>43633</c:v>
                </c:pt>
                <c:pt idx="115">
                  <c:v>43634</c:v>
                </c:pt>
                <c:pt idx="116">
                  <c:v>43635</c:v>
                </c:pt>
                <c:pt idx="117">
                  <c:v>43636</c:v>
                </c:pt>
                <c:pt idx="118">
                  <c:v>43637</c:v>
                </c:pt>
                <c:pt idx="119">
                  <c:v>43640</c:v>
                </c:pt>
                <c:pt idx="120">
                  <c:v>43641</c:v>
                </c:pt>
                <c:pt idx="121">
                  <c:v>43642</c:v>
                </c:pt>
                <c:pt idx="122">
                  <c:v>43643</c:v>
                </c:pt>
                <c:pt idx="123">
                  <c:v>43644</c:v>
                </c:pt>
                <c:pt idx="124">
                  <c:v>43647</c:v>
                </c:pt>
                <c:pt idx="125">
                  <c:v>43648</c:v>
                </c:pt>
                <c:pt idx="126">
                  <c:v>43649</c:v>
                </c:pt>
                <c:pt idx="127">
                  <c:v>43651</c:v>
                </c:pt>
                <c:pt idx="128">
                  <c:v>43654</c:v>
                </c:pt>
                <c:pt idx="129">
                  <c:v>43655</c:v>
                </c:pt>
                <c:pt idx="130">
                  <c:v>43656</c:v>
                </c:pt>
                <c:pt idx="131">
                  <c:v>43657</c:v>
                </c:pt>
                <c:pt idx="132">
                  <c:v>43658</c:v>
                </c:pt>
                <c:pt idx="133">
                  <c:v>43661</c:v>
                </c:pt>
                <c:pt idx="134">
                  <c:v>43662</c:v>
                </c:pt>
                <c:pt idx="135">
                  <c:v>43663</c:v>
                </c:pt>
                <c:pt idx="136">
                  <c:v>43664</c:v>
                </c:pt>
                <c:pt idx="137">
                  <c:v>43665</c:v>
                </c:pt>
                <c:pt idx="138">
                  <c:v>43668</c:v>
                </c:pt>
                <c:pt idx="139">
                  <c:v>43669</c:v>
                </c:pt>
                <c:pt idx="140">
                  <c:v>43670</c:v>
                </c:pt>
                <c:pt idx="141">
                  <c:v>43671</c:v>
                </c:pt>
                <c:pt idx="142">
                  <c:v>43672</c:v>
                </c:pt>
                <c:pt idx="143">
                  <c:v>43675</c:v>
                </c:pt>
                <c:pt idx="144">
                  <c:v>43676</c:v>
                </c:pt>
                <c:pt idx="145">
                  <c:v>43677</c:v>
                </c:pt>
                <c:pt idx="146">
                  <c:v>43678</c:v>
                </c:pt>
                <c:pt idx="147">
                  <c:v>43679</c:v>
                </c:pt>
                <c:pt idx="148">
                  <c:v>43682</c:v>
                </c:pt>
                <c:pt idx="149">
                  <c:v>43683</c:v>
                </c:pt>
                <c:pt idx="150">
                  <c:v>43684</c:v>
                </c:pt>
                <c:pt idx="151">
                  <c:v>43685</c:v>
                </c:pt>
                <c:pt idx="152">
                  <c:v>43686</c:v>
                </c:pt>
                <c:pt idx="153">
                  <c:v>43689</c:v>
                </c:pt>
                <c:pt idx="154">
                  <c:v>43690</c:v>
                </c:pt>
                <c:pt idx="155">
                  <c:v>43691</c:v>
                </c:pt>
                <c:pt idx="156">
                  <c:v>43692</c:v>
                </c:pt>
                <c:pt idx="157">
                  <c:v>43693</c:v>
                </c:pt>
                <c:pt idx="158">
                  <c:v>43696</c:v>
                </c:pt>
                <c:pt idx="159">
                  <c:v>43697</c:v>
                </c:pt>
                <c:pt idx="160">
                  <c:v>43698</c:v>
                </c:pt>
                <c:pt idx="161">
                  <c:v>43699</c:v>
                </c:pt>
                <c:pt idx="162">
                  <c:v>43700</c:v>
                </c:pt>
                <c:pt idx="163">
                  <c:v>43703</c:v>
                </c:pt>
                <c:pt idx="164">
                  <c:v>43704</c:v>
                </c:pt>
                <c:pt idx="165">
                  <c:v>43705</c:v>
                </c:pt>
                <c:pt idx="166">
                  <c:v>43706</c:v>
                </c:pt>
                <c:pt idx="167">
                  <c:v>43707</c:v>
                </c:pt>
                <c:pt idx="168">
                  <c:v>43711</c:v>
                </c:pt>
                <c:pt idx="169">
                  <c:v>43712</c:v>
                </c:pt>
                <c:pt idx="170">
                  <c:v>43713</c:v>
                </c:pt>
                <c:pt idx="171">
                  <c:v>43714</c:v>
                </c:pt>
                <c:pt idx="172">
                  <c:v>43717</c:v>
                </c:pt>
                <c:pt idx="173">
                  <c:v>43718</c:v>
                </c:pt>
                <c:pt idx="174">
                  <c:v>43719</c:v>
                </c:pt>
                <c:pt idx="175">
                  <c:v>43720</c:v>
                </c:pt>
                <c:pt idx="176">
                  <c:v>43721</c:v>
                </c:pt>
                <c:pt idx="177">
                  <c:v>43724</c:v>
                </c:pt>
                <c:pt idx="178">
                  <c:v>43725</c:v>
                </c:pt>
                <c:pt idx="179">
                  <c:v>43726</c:v>
                </c:pt>
                <c:pt idx="180">
                  <c:v>43727</c:v>
                </c:pt>
                <c:pt idx="181">
                  <c:v>43728</c:v>
                </c:pt>
                <c:pt idx="182">
                  <c:v>43731</c:v>
                </c:pt>
                <c:pt idx="183">
                  <c:v>43732</c:v>
                </c:pt>
                <c:pt idx="184">
                  <c:v>43733</c:v>
                </c:pt>
                <c:pt idx="185">
                  <c:v>43734</c:v>
                </c:pt>
                <c:pt idx="186">
                  <c:v>43735</c:v>
                </c:pt>
                <c:pt idx="187">
                  <c:v>43738</c:v>
                </c:pt>
                <c:pt idx="188">
                  <c:v>43739</c:v>
                </c:pt>
                <c:pt idx="189">
                  <c:v>43740</c:v>
                </c:pt>
                <c:pt idx="190">
                  <c:v>43741</c:v>
                </c:pt>
                <c:pt idx="191">
                  <c:v>43742</c:v>
                </c:pt>
                <c:pt idx="192">
                  <c:v>43745</c:v>
                </c:pt>
                <c:pt idx="193">
                  <c:v>43746</c:v>
                </c:pt>
                <c:pt idx="194">
                  <c:v>43747</c:v>
                </c:pt>
                <c:pt idx="195">
                  <c:v>43748</c:v>
                </c:pt>
                <c:pt idx="196">
                  <c:v>43749</c:v>
                </c:pt>
                <c:pt idx="197">
                  <c:v>43752</c:v>
                </c:pt>
                <c:pt idx="198">
                  <c:v>43753</c:v>
                </c:pt>
                <c:pt idx="199">
                  <c:v>43754</c:v>
                </c:pt>
                <c:pt idx="200">
                  <c:v>43755</c:v>
                </c:pt>
                <c:pt idx="201">
                  <c:v>43756</c:v>
                </c:pt>
                <c:pt idx="202">
                  <c:v>43759</c:v>
                </c:pt>
                <c:pt idx="203">
                  <c:v>43760</c:v>
                </c:pt>
                <c:pt idx="204">
                  <c:v>43761</c:v>
                </c:pt>
                <c:pt idx="205">
                  <c:v>43762</c:v>
                </c:pt>
                <c:pt idx="206">
                  <c:v>43763</c:v>
                </c:pt>
                <c:pt idx="207">
                  <c:v>43766</c:v>
                </c:pt>
                <c:pt idx="208">
                  <c:v>43767</c:v>
                </c:pt>
                <c:pt idx="209">
                  <c:v>43768</c:v>
                </c:pt>
                <c:pt idx="210">
                  <c:v>43769</c:v>
                </c:pt>
                <c:pt idx="211">
                  <c:v>43770</c:v>
                </c:pt>
                <c:pt idx="212">
                  <c:v>43773</c:v>
                </c:pt>
                <c:pt idx="213">
                  <c:v>43774</c:v>
                </c:pt>
                <c:pt idx="214">
                  <c:v>43775</c:v>
                </c:pt>
                <c:pt idx="215">
                  <c:v>43776</c:v>
                </c:pt>
                <c:pt idx="216">
                  <c:v>43777</c:v>
                </c:pt>
                <c:pt idx="217">
                  <c:v>43780</c:v>
                </c:pt>
                <c:pt idx="218">
                  <c:v>43781</c:v>
                </c:pt>
                <c:pt idx="219">
                  <c:v>43782</c:v>
                </c:pt>
                <c:pt idx="220">
                  <c:v>43783</c:v>
                </c:pt>
                <c:pt idx="221">
                  <c:v>43784</c:v>
                </c:pt>
                <c:pt idx="222">
                  <c:v>43787</c:v>
                </c:pt>
                <c:pt idx="223">
                  <c:v>43788</c:v>
                </c:pt>
                <c:pt idx="224">
                  <c:v>43789</c:v>
                </c:pt>
                <c:pt idx="225">
                  <c:v>43790</c:v>
                </c:pt>
                <c:pt idx="226">
                  <c:v>43791</c:v>
                </c:pt>
                <c:pt idx="227">
                  <c:v>43794</c:v>
                </c:pt>
                <c:pt idx="228">
                  <c:v>43795</c:v>
                </c:pt>
                <c:pt idx="229">
                  <c:v>43796</c:v>
                </c:pt>
                <c:pt idx="230">
                  <c:v>43798</c:v>
                </c:pt>
                <c:pt idx="231">
                  <c:v>43801</c:v>
                </c:pt>
                <c:pt idx="232">
                  <c:v>43802</c:v>
                </c:pt>
                <c:pt idx="233">
                  <c:v>43803</c:v>
                </c:pt>
                <c:pt idx="234">
                  <c:v>43804</c:v>
                </c:pt>
                <c:pt idx="235">
                  <c:v>43805</c:v>
                </c:pt>
                <c:pt idx="236">
                  <c:v>43808</c:v>
                </c:pt>
                <c:pt idx="237">
                  <c:v>43809</c:v>
                </c:pt>
                <c:pt idx="238">
                  <c:v>43810</c:v>
                </c:pt>
                <c:pt idx="239">
                  <c:v>43811</c:v>
                </c:pt>
                <c:pt idx="240">
                  <c:v>43812</c:v>
                </c:pt>
                <c:pt idx="241">
                  <c:v>43815</c:v>
                </c:pt>
                <c:pt idx="242">
                  <c:v>43816</c:v>
                </c:pt>
                <c:pt idx="243">
                  <c:v>43817</c:v>
                </c:pt>
                <c:pt idx="244">
                  <c:v>43818</c:v>
                </c:pt>
                <c:pt idx="245">
                  <c:v>43819</c:v>
                </c:pt>
                <c:pt idx="246">
                  <c:v>43822</c:v>
                </c:pt>
                <c:pt idx="247">
                  <c:v>43823</c:v>
                </c:pt>
                <c:pt idx="248">
                  <c:v>43825</c:v>
                </c:pt>
                <c:pt idx="249">
                  <c:v>43826</c:v>
                </c:pt>
                <c:pt idx="250">
                  <c:v>43829</c:v>
                </c:pt>
                <c:pt idx="251">
                  <c:v>43830</c:v>
                </c:pt>
                <c:pt idx="252">
                  <c:v>43832</c:v>
                </c:pt>
                <c:pt idx="253">
                  <c:v>43833</c:v>
                </c:pt>
                <c:pt idx="254">
                  <c:v>43836</c:v>
                </c:pt>
                <c:pt idx="255">
                  <c:v>43837</c:v>
                </c:pt>
                <c:pt idx="256">
                  <c:v>43838</c:v>
                </c:pt>
                <c:pt idx="257">
                  <c:v>43839</c:v>
                </c:pt>
                <c:pt idx="258">
                  <c:v>43840</c:v>
                </c:pt>
                <c:pt idx="259">
                  <c:v>43843</c:v>
                </c:pt>
                <c:pt idx="260">
                  <c:v>43844</c:v>
                </c:pt>
                <c:pt idx="261">
                  <c:v>43845</c:v>
                </c:pt>
                <c:pt idx="262">
                  <c:v>43846</c:v>
                </c:pt>
                <c:pt idx="263">
                  <c:v>43847</c:v>
                </c:pt>
                <c:pt idx="264">
                  <c:v>43851</c:v>
                </c:pt>
                <c:pt idx="265">
                  <c:v>43852</c:v>
                </c:pt>
                <c:pt idx="266">
                  <c:v>43853</c:v>
                </c:pt>
                <c:pt idx="267">
                  <c:v>43854</c:v>
                </c:pt>
                <c:pt idx="268">
                  <c:v>43857</c:v>
                </c:pt>
                <c:pt idx="269">
                  <c:v>43858</c:v>
                </c:pt>
                <c:pt idx="270">
                  <c:v>43859</c:v>
                </c:pt>
                <c:pt idx="271">
                  <c:v>43860</c:v>
                </c:pt>
                <c:pt idx="272">
                  <c:v>43861</c:v>
                </c:pt>
                <c:pt idx="273">
                  <c:v>43864</c:v>
                </c:pt>
                <c:pt idx="274">
                  <c:v>43865</c:v>
                </c:pt>
                <c:pt idx="275">
                  <c:v>43866</c:v>
                </c:pt>
                <c:pt idx="276">
                  <c:v>43867</c:v>
                </c:pt>
                <c:pt idx="277">
                  <c:v>43868</c:v>
                </c:pt>
                <c:pt idx="278">
                  <c:v>43871</c:v>
                </c:pt>
                <c:pt idx="279">
                  <c:v>43872</c:v>
                </c:pt>
                <c:pt idx="280">
                  <c:v>43873</c:v>
                </c:pt>
                <c:pt idx="281">
                  <c:v>43874</c:v>
                </c:pt>
                <c:pt idx="282">
                  <c:v>43875</c:v>
                </c:pt>
                <c:pt idx="283">
                  <c:v>43879</c:v>
                </c:pt>
                <c:pt idx="284">
                  <c:v>43880</c:v>
                </c:pt>
                <c:pt idx="285">
                  <c:v>43881</c:v>
                </c:pt>
                <c:pt idx="286">
                  <c:v>43882</c:v>
                </c:pt>
                <c:pt idx="287">
                  <c:v>43885</c:v>
                </c:pt>
                <c:pt idx="288">
                  <c:v>43886</c:v>
                </c:pt>
                <c:pt idx="289">
                  <c:v>43887</c:v>
                </c:pt>
                <c:pt idx="290">
                  <c:v>43888</c:v>
                </c:pt>
                <c:pt idx="291">
                  <c:v>43889</c:v>
                </c:pt>
                <c:pt idx="292">
                  <c:v>43892</c:v>
                </c:pt>
                <c:pt idx="293">
                  <c:v>43893</c:v>
                </c:pt>
                <c:pt idx="294">
                  <c:v>43894</c:v>
                </c:pt>
                <c:pt idx="295">
                  <c:v>43895</c:v>
                </c:pt>
                <c:pt idx="296">
                  <c:v>43896</c:v>
                </c:pt>
                <c:pt idx="297">
                  <c:v>43899</c:v>
                </c:pt>
                <c:pt idx="298">
                  <c:v>43900</c:v>
                </c:pt>
                <c:pt idx="299">
                  <c:v>43901</c:v>
                </c:pt>
                <c:pt idx="300">
                  <c:v>43902</c:v>
                </c:pt>
                <c:pt idx="301">
                  <c:v>43903</c:v>
                </c:pt>
                <c:pt idx="302">
                  <c:v>43906</c:v>
                </c:pt>
                <c:pt idx="303">
                  <c:v>43907</c:v>
                </c:pt>
                <c:pt idx="304">
                  <c:v>43908</c:v>
                </c:pt>
                <c:pt idx="305">
                  <c:v>43909</c:v>
                </c:pt>
                <c:pt idx="306">
                  <c:v>43910</c:v>
                </c:pt>
                <c:pt idx="307">
                  <c:v>43913</c:v>
                </c:pt>
                <c:pt idx="308">
                  <c:v>43914</c:v>
                </c:pt>
                <c:pt idx="309">
                  <c:v>43915</c:v>
                </c:pt>
                <c:pt idx="310">
                  <c:v>43916</c:v>
                </c:pt>
                <c:pt idx="311">
                  <c:v>43917</c:v>
                </c:pt>
                <c:pt idx="312">
                  <c:v>43920</c:v>
                </c:pt>
                <c:pt idx="313">
                  <c:v>43921</c:v>
                </c:pt>
                <c:pt idx="314">
                  <c:v>43922</c:v>
                </c:pt>
                <c:pt idx="315">
                  <c:v>43923</c:v>
                </c:pt>
                <c:pt idx="316">
                  <c:v>43924</c:v>
                </c:pt>
                <c:pt idx="317">
                  <c:v>43927</c:v>
                </c:pt>
                <c:pt idx="318">
                  <c:v>43928</c:v>
                </c:pt>
                <c:pt idx="319">
                  <c:v>43929</c:v>
                </c:pt>
                <c:pt idx="320">
                  <c:v>43930</c:v>
                </c:pt>
                <c:pt idx="321">
                  <c:v>43934</c:v>
                </c:pt>
                <c:pt idx="322">
                  <c:v>43935</c:v>
                </c:pt>
                <c:pt idx="323">
                  <c:v>43936</c:v>
                </c:pt>
                <c:pt idx="324">
                  <c:v>43937</c:v>
                </c:pt>
                <c:pt idx="325">
                  <c:v>43938</c:v>
                </c:pt>
                <c:pt idx="326">
                  <c:v>43941</c:v>
                </c:pt>
                <c:pt idx="327">
                  <c:v>43942</c:v>
                </c:pt>
                <c:pt idx="328">
                  <c:v>43943</c:v>
                </c:pt>
                <c:pt idx="329">
                  <c:v>43944</c:v>
                </c:pt>
                <c:pt idx="330">
                  <c:v>43945</c:v>
                </c:pt>
                <c:pt idx="331">
                  <c:v>43948</c:v>
                </c:pt>
                <c:pt idx="332">
                  <c:v>43949</c:v>
                </c:pt>
                <c:pt idx="333">
                  <c:v>43950</c:v>
                </c:pt>
                <c:pt idx="334">
                  <c:v>43951</c:v>
                </c:pt>
                <c:pt idx="335">
                  <c:v>43952</c:v>
                </c:pt>
                <c:pt idx="336">
                  <c:v>43955</c:v>
                </c:pt>
                <c:pt idx="337">
                  <c:v>43956</c:v>
                </c:pt>
                <c:pt idx="338">
                  <c:v>43957</c:v>
                </c:pt>
                <c:pt idx="339">
                  <c:v>43958</c:v>
                </c:pt>
                <c:pt idx="340">
                  <c:v>43959</c:v>
                </c:pt>
                <c:pt idx="341">
                  <c:v>43962</c:v>
                </c:pt>
                <c:pt idx="342">
                  <c:v>43963</c:v>
                </c:pt>
                <c:pt idx="343">
                  <c:v>43964</c:v>
                </c:pt>
                <c:pt idx="344">
                  <c:v>43965</c:v>
                </c:pt>
                <c:pt idx="345">
                  <c:v>43966</c:v>
                </c:pt>
                <c:pt idx="346">
                  <c:v>43969</c:v>
                </c:pt>
                <c:pt idx="347">
                  <c:v>43970</c:v>
                </c:pt>
                <c:pt idx="348">
                  <c:v>43971</c:v>
                </c:pt>
                <c:pt idx="349">
                  <c:v>43972</c:v>
                </c:pt>
                <c:pt idx="350">
                  <c:v>43973</c:v>
                </c:pt>
                <c:pt idx="351">
                  <c:v>43977</c:v>
                </c:pt>
                <c:pt idx="352">
                  <c:v>43978</c:v>
                </c:pt>
                <c:pt idx="353">
                  <c:v>43979</c:v>
                </c:pt>
                <c:pt idx="354">
                  <c:v>43980</c:v>
                </c:pt>
                <c:pt idx="355">
                  <c:v>43983</c:v>
                </c:pt>
                <c:pt idx="356">
                  <c:v>43984</c:v>
                </c:pt>
                <c:pt idx="357">
                  <c:v>43985</c:v>
                </c:pt>
                <c:pt idx="358">
                  <c:v>43986</c:v>
                </c:pt>
                <c:pt idx="359">
                  <c:v>43987</c:v>
                </c:pt>
                <c:pt idx="360">
                  <c:v>43990</c:v>
                </c:pt>
                <c:pt idx="361">
                  <c:v>43991</c:v>
                </c:pt>
                <c:pt idx="362">
                  <c:v>43992</c:v>
                </c:pt>
                <c:pt idx="363">
                  <c:v>43993</c:v>
                </c:pt>
                <c:pt idx="364">
                  <c:v>43994</c:v>
                </c:pt>
                <c:pt idx="365">
                  <c:v>43997</c:v>
                </c:pt>
                <c:pt idx="366">
                  <c:v>43998</c:v>
                </c:pt>
                <c:pt idx="367">
                  <c:v>43999</c:v>
                </c:pt>
                <c:pt idx="368">
                  <c:v>44000</c:v>
                </c:pt>
                <c:pt idx="369">
                  <c:v>44001</c:v>
                </c:pt>
                <c:pt idx="370">
                  <c:v>44004</c:v>
                </c:pt>
                <c:pt idx="371">
                  <c:v>44005</c:v>
                </c:pt>
                <c:pt idx="372">
                  <c:v>44006</c:v>
                </c:pt>
                <c:pt idx="373">
                  <c:v>44007</c:v>
                </c:pt>
                <c:pt idx="374">
                  <c:v>44008</c:v>
                </c:pt>
                <c:pt idx="375">
                  <c:v>44011</c:v>
                </c:pt>
                <c:pt idx="376">
                  <c:v>44012</c:v>
                </c:pt>
                <c:pt idx="377">
                  <c:v>44013</c:v>
                </c:pt>
                <c:pt idx="378">
                  <c:v>44014</c:v>
                </c:pt>
                <c:pt idx="379">
                  <c:v>44018</c:v>
                </c:pt>
                <c:pt idx="380">
                  <c:v>44019</c:v>
                </c:pt>
                <c:pt idx="381">
                  <c:v>44020</c:v>
                </c:pt>
                <c:pt idx="382">
                  <c:v>44021</c:v>
                </c:pt>
                <c:pt idx="383">
                  <c:v>44022</c:v>
                </c:pt>
                <c:pt idx="384">
                  <c:v>44025</c:v>
                </c:pt>
                <c:pt idx="385">
                  <c:v>44026</c:v>
                </c:pt>
                <c:pt idx="386">
                  <c:v>44027</c:v>
                </c:pt>
                <c:pt idx="387">
                  <c:v>44028</c:v>
                </c:pt>
                <c:pt idx="388">
                  <c:v>44029</c:v>
                </c:pt>
                <c:pt idx="389">
                  <c:v>44032</c:v>
                </c:pt>
                <c:pt idx="390">
                  <c:v>44033</c:v>
                </c:pt>
                <c:pt idx="391">
                  <c:v>44034</c:v>
                </c:pt>
                <c:pt idx="392">
                  <c:v>44035</c:v>
                </c:pt>
                <c:pt idx="393">
                  <c:v>44036</c:v>
                </c:pt>
                <c:pt idx="394">
                  <c:v>44039</c:v>
                </c:pt>
                <c:pt idx="395">
                  <c:v>44040</c:v>
                </c:pt>
                <c:pt idx="396">
                  <c:v>44041</c:v>
                </c:pt>
                <c:pt idx="397">
                  <c:v>44042</c:v>
                </c:pt>
                <c:pt idx="398">
                  <c:v>44043</c:v>
                </c:pt>
                <c:pt idx="399">
                  <c:v>44046</c:v>
                </c:pt>
                <c:pt idx="400">
                  <c:v>44047</c:v>
                </c:pt>
                <c:pt idx="401">
                  <c:v>44048</c:v>
                </c:pt>
                <c:pt idx="402">
                  <c:v>44049</c:v>
                </c:pt>
                <c:pt idx="403">
                  <c:v>44050</c:v>
                </c:pt>
                <c:pt idx="404">
                  <c:v>44053</c:v>
                </c:pt>
                <c:pt idx="405">
                  <c:v>44054</c:v>
                </c:pt>
                <c:pt idx="406">
                  <c:v>44055</c:v>
                </c:pt>
                <c:pt idx="407">
                  <c:v>44056</c:v>
                </c:pt>
                <c:pt idx="408">
                  <c:v>44057</c:v>
                </c:pt>
                <c:pt idx="409">
                  <c:v>44060</c:v>
                </c:pt>
                <c:pt idx="410">
                  <c:v>44061</c:v>
                </c:pt>
                <c:pt idx="411">
                  <c:v>44062</c:v>
                </c:pt>
                <c:pt idx="412">
                  <c:v>44063</c:v>
                </c:pt>
                <c:pt idx="413">
                  <c:v>44064</c:v>
                </c:pt>
                <c:pt idx="414">
                  <c:v>44067</c:v>
                </c:pt>
                <c:pt idx="415">
                  <c:v>44068</c:v>
                </c:pt>
                <c:pt idx="416">
                  <c:v>44069</c:v>
                </c:pt>
                <c:pt idx="417">
                  <c:v>44070</c:v>
                </c:pt>
                <c:pt idx="418">
                  <c:v>44071</c:v>
                </c:pt>
                <c:pt idx="419">
                  <c:v>44074</c:v>
                </c:pt>
                <c:pt idx="420">
                  <c:v>44075</c:v>
                </c:pt>
                <c:pt idx="421">
                  <c:v>44076</c:v>
                </c:pt>
                <c:pt idx="422">
                  <c:v>44077</c:v>
                </c:pt>
                <c:pt idx="423">
                  <c:v>44078</c:v>
                </c:pt>
                <c:pt idx="424">
                  <c:v>44082</c:v>
                </c:pt>
                <c:pt idx="425">
                  <c:v>44083</c:v>
                </c:pt>
                <c:pt idx="426">
                  <c:v>44084</c:v>
                </c:pt>
                <c:pt idx="427">
                  <c:v>44085</c:v>
                </c:pt>
                <c:pt idx="428">
                  <c:v>44088</c:v>
                </c:pt>
                <c:pt idx="429">
                  <c:v>44089</c:v>
                </c:pt>
                <c:pt idx="430">
                  <c:v>44090</c:v>
                </c:pt>
                <c:pt idx="431">
                  <c:v>44091</c:v>
                </c:pt>
                <c:pt idx="432">
                  <c:v>44092</c:v>
                </c:pt>
                <c:pt idx="433">
                  <c:v>44095</c:v>
                </c:pt>
                <c:pt idx="434">
                  <c:v>44096</c:v>
                </c:pt>
                <c:pt idx="435">
                  <c:v>44097</c:v>
                </c:pt>
                <c:pt idx="436">
                  <c:v>44098</c:v>
                </c:pt>
                <c:pt idx="437">
                  <c:v>44099</c:v>
                </c:pt>
                <c:pt idx="438">
                  <c:v>44102</c:v>
                </c:pt>
                <c:pt idx="439">
                  <c:v>44103</c:v>
                </c:pt>
                <c:pt idx="440">
                  <c:v>44104</c:v>
                </c:pt>
                <c:pt idx="441">
                  <c:v>44105</c:v>
                </c:pt>
                <c:pt idx="442">
                  <c:v>44106</c:v>
                </c:pt>
                <c:pt idx="443">
                  <c:v>44109</c:v>
                </c:pt>
                <c:pt idx="444">
                  <c:v>44110</c:v>
                </c:pt>
                <c:pt idx="445">
                  <c:v>44111</c:v>
                </c:pt>
                <c:pt idx="446">
                  <c:v>44112</c:v>
                </c:pt>
                <c:pt idx="447">
                  <c:v>44113</c:v>
                </c:pt>
                <c:pt idx="448">
                  <c:v>44116</c:v>
                </c:pt>
                <c:pt idx="449">
                  <c:v>44117</c:v>
                </c:pt>
                <c:pt idx="450">
                  <c:v>44118</c:v>
                </c:pt>
                <c:pt idx="451">
                  <c:v>44119</c:v>
                </c:pt>
                <c:pt idx="452">
                  <c:v>44120</c:v>
                </c:pt>
                <c:pt idx="453">
                  <c:v>44123</c:v>
                </c:pt>
                <c:pt idx="454">
                  <c:v>44124</c:v>
                </c:pt>
                <c:pt idx="455">
                  <c:v>44125</c:v>
                </c:pt>
                <c:pt idx="456">
                  <c:v>44126</c:v>
                </c:pt>
                <c:pt idx="457">
                  <c:v>44127</c:v>
                </c:pt>
                <c:pt idx="458">
                  <c:v>44130</c:v>
                </c:pt>
                <c:pt idx="459">
                  <c:v>44131</c:v>
                </c:pt>
                <c:pt idx="460">
                  <c:v>44132</c:v>
                </c:pt>
                <c:pt idx="461">
                  <c:v>44133</c:v>
                </c:pt>
                <c:pt idx="462">
                  <c:v>44134</c:v>
                </c:pt>
                <c:pt idx="463">
                  <c:v>44137</c:v>
                </c:pt>
                <c:pt idx="464">
                  <c:v>44138</c:v>
                </c:pt>
                <c:pt idx="465">
                  <c:v>44139</c:v>
                </c:pt>
                <c:pt idx="466">
                  <c:v>44140</c:v>
                </c:pt>
                <c:pt idx="467">
                  <c:v>44141</c:v>
                </c:pt>
                <c:pt idx="468">
                  <c:v>44144</c:v>
                </c:pt>
                <c:pt idx="469">
                  <c:v>44145</c:v>
                </c:pt>
                <c:pt idx="470">
                  <c:v>44146</c:v>
                </c:pt>
                <c:pt idx="471">
                  <c:v>44147</c:v>
                </c:pt>
                <c:pt idx="472">
                  <c:v>44148</c:v>
                </c:pt>
                <c:pt idx="473">
                  <c:v>44151</c:v>
                </c:pt>
                <c:pt idx="474">
                  <c:v>44152</c:v>
                </c:pt>
                <c:pt idx="475">
                  <c:v>44153</c:v>
                </c:pt>
                <c:pt idx="476">
                  <c:v>44154</c:v>
                </c:pt>
                <c:pt idx="477">
                  <c:v>44155</c:v>
                </c:pt>
                <c:pt idx="478">
                  <c:v>44158</c:v>
                </c:pt>
                <c:pt idx="479">
                  <c:v>44159</c:v>
                </c:pt>
                <c:pt idx="480">
                  <c:v>44160</c:v>
                </c:pt>
                <c:pt idx="481">
                  <c:v>44162</c:v>
                </c:pt>
                <c:pt idx="482">
                  <c:v>44165</c:v>
                </c:pt>
                <c:pt idx="483">
                  <c:v>44166</c:v>
                </c:pt>
                <c:pt idx="484">
                  <c:v>44167</c:v>
                </c:pt>
                <c:pt idx="485">
                  <c:v>44168</c:v>
                </c:pt>
                <c:pt idx="486">
                  <c:v>44169</c:v>
                </c:pt>
                <c:pt idx="487">
                  <c:v>44172</c:v>
                </c:pt>
                <c:pt idx="488">
                  <c:v>44173</c:v>
                </c:pt>
                <c:pt idx="489">
                  <c:v>44174</c:v>
                </c:pt>
                <c:pt idx="490">
                  <c:v>44175</c:v>
                </c:pt>
                <c:pt idx="491">
                  <c:v>44176</c:v>
                </c:pt>
                <c:pt idx="492">
                  <c:v>44179</c:v>
                </c:pt>
                <c:pt idx="493">
                  <c:v>44180</c:v>
                </c:pt>
                <c:pt idx="494">
                  <c:v>44181</c:v>
                </c:pt>
                <c:pt idx="495">
                  <c:v>44182</c:v>
                </c:pt>
                <c:pt idx="496">
                  <c:v>44183</c:v>
                </c:pt>
                <c:pt idx="497">
                  <c:v>44186</c:v>
                </c:pt>
                <c:pt idx="498">
                  <c:v>44187</c:v>
                </c:pt>
                <c:pt idx="499">
                  <c:v>44188</c:v>
                </c:pt>
                <c:pt idx="500">
                  <c:v>44189</c:v>
                </c:pt>
                <c:pt idx="501">
                  <c:v>44193</c:v>
                </c:pt>
                <c:pt idx="502">
                  <c:v>44194</c:v>
                </c:pt>
                <c:pt idx="503">
                  <c:v>44195</c:v>
                </c:pt>
                <c:pt idx="504">
                  <c:v>44196</c:v>
                </c:pt>
                <c:pt idx="505">
                  <c:v>44200</c:v>
                </c:pt>
                <c:pt idx="506">
                  <c:v>44201</c:v>
                </c:pt>
                <c:pt idx="507">
                  <c:v>44202</c:v>
                </c:pt>
                <c:pt idx="508">
                  <c:v>44203</c:v>
                </c:pt>
                <c:pt idx="509">
                  <c:v>44204</c:v>
                </c:pt>
                <c:pt idx="510">
                  <c:v>44207</c:v>
                </c:pt>
                <c:pt idx="511">
                  <c:v>44208</c:v>
                </c:pt>
                <c:pt idx="512">
                  <c:v>44209</c:v>
                </c:pt>
                <c:pt idx="513">
                  <c:v>44210</c:v>
                </c:pt>
                <c:pt idx="514">
                  <c:v>44211</c:v>
                </c:pt>
                <c:pt idx="515">
                  <c:v>44215</c:v>
                </c:pt>
                <c:pt idx="516">
                  <c:v>44216</c:v>
                </c:pt>
                <c:pt idx="517">
                  <c:v>44217</c:v>
                </c:pt>
                <c:pt idx="518">
                  <c:v>44218</c:v>
                </c:pt>
                <c:pt idx="519">
                  <c:v>44221</c:v>
                </c:pt>
                <c:pt idx="520">
                  <c:v>44222</c:v>
                </c:pt>
                <c:pt idx="521">
                  <c:v>44223</c:v>
                </c:pt>
                <c:pt idx="522">
                  <c:v>44224</c:v>
                </c:pt>
                <c:pt idx="523">
                  <c:v>44225</c:v>
                </c:pt>
                <c:pt idx="524">
                  <c:v>44228</c:v>
                </c:pt>
                <c:pt idx="525">
                  <c:v>44229</c:v>
                </c:pt>
                <c:pt idx="526">
                  <c:v>44230</c:v>
                </c:pt>
                <c:pt idx="527">
                  <c:v>44231</c:v>
                </c:pt>
                <c:pt idx="528">
                  <c:v>44232</c:v>
                </c:pt>
                <c:pt idx="529">
                  <c:v>44235</c:v>
                </c:pt>
                <c:pt idx="530">
                  <c:v>44236</c:v>
                </c:pt>
                <c:pt idx="531">
                  <c:v>44237</c:v>
                </c:pt>
                <c:pt idx="532">
                  <c:v>44238</c:v>
                </c:pt>
                <c:pt idx="533">
                  <c:v>44239</c:v>
                </c:pt>
                <c:pt idx="534">
                  <c:v>44243</c:v>
                </c:pt>
                <c:pt idx="535">
                  <c:v>44244</c:v>
                </c:pt>
                <c:pt idx="536">
                  <c:v>44245</c:v>
                </c:pt>
                <c:pt idx="537">
                  <c:v>44246</c:v>
                </c:pt>
                <c:pt idx="538">
                  <c:v>44249</c:v>
                </c:pt>
                <c:pt idx="539">
                  <c:v>44250</c:v>
                </c:pt>
                <c:pt idx="540">
                  <c:v>44251</c:v>
                </c:pt>
                <c:pt idx="541">
                  <c:v>44252</c:v>
                </c:pt>
                <c:pt idx="542">
                  <c:v>44253</c:v>
                </c:pt>
                <c:pt idx="543">
                  <c:v>44256</c:v>
                </c:pt>
                <c:pt idx="544">
                  <c:v>44257</c:v>
                </c:pt>
                <c:pt idx="545">
                  <c:v>44258</c:v>
                </c:pt>
                <c:pt idx="546">
                  <c:v>44259</c:v>
                </c:pt>
                <c:pt idx="547">
                  <c:v>44260</c:v>
                </c:pt>
                <c:pt idx="548">
                  <c:v>44263</c:v>
                </c:pt>
                <c:pt idx="549">
                  <c:v>44264</c:v>
                </c:pt>
                <c:pt idx="550">
                  <c:v>44265</c:v>
                </c:pt>
                <c:pt idx="551">
                  <c:v>44266</c:v>
                </c:pt>
                <c:pt idx="552">
                  <c:v>44267</c:v>
                </c:pt>
                <c:pt idx="553">
                  <c:v>44270</c:v>
                </c:pt>
                <c:pt idx="554">
                  <c:v>44271</c:v>
                </c:pt>
                <c:pt idx="555">
                  <c:v>44272</c:v>
                </c:pt>
                <c:pt idx="556">
                  <c:v>44273</c:v>
                </c:pt>
                <c:pt idx="557">
                  <c:v>44274</c:v>
                </c:pt>
                <c:pt idx="558">
                  <c:v>44277</c:v>
                </c:pt>
                <c:pt idx="559">
                  <c:v>44278</c:v>
                </c:pt>
                <c:pt idx="560">
                  <c:v>44279</c:v>
                </c:pt>
                <c:pt idx="561">
                  <c:v>44280</c:v>
                </c:pt>
                <c:pt idx="562">
                  <c:v>44281</c:v>
                </c:pt>
                <c:pt idx="563">
                  <c:v>44284</c:v>
                </c:pt>
                <c:pt idx="564">
                  <c:v>44285</c:v>
                </c:pt>
                <c:pt idx="565">
                  <c:v>44286</c:v>
                </c:pt>
                <c:pt idx="566">
                  <c:v>44287</c:v>
                </c:pt>
                <c:pt idx="567">
                  <c:v>44291</c:v>
                </c:pt>
                <c:pt idx="568">
                  <c:v>44292</c:v>
                </c:pt>
                <c:pt idx="569">
                  <c:v>44293</c:v>
                </c:pt>
                <c:pt idx="570">
                  <c:v>44294</c:v>
                </c:pt>
                <c:pt idx="571">
                  <c:v>44295</c:v>
                </c:pt>
                <c:pt idx="572">
                  <c:v>44298</c:v>
                </c:pt>
                <c:pt idx="573">
                  <c:v>44299</c:v>
                </c:pt>
                <c:pt idx="574">
                  <c:v>44300</c:v>
                </c:pt>
                <c:pt idx="575">
                  <c:v>44301</c:v>
                </c:pt>
                <c:pt idx="576">
                  <c:v>44302</c:v>
                </c:pt>
                <c:pt idx="577">
                  <c:v>44305</c:v>
                </c:pt>
                <c:pt idx="578">
                  <c:v>44306</c:v>
                </c:pt>
                <c:pt idx="579">
                  <c:v>44307</c:v>
                </c:pt>
                <c:pt idx="580">
                  <c:v>44308</c:v>
                </c:pt>
                <c:pt idx="581">
                  <c:v>44309</c:v>
                </c:pt>
                <c:pt idx="582">
                  <c:v>44312</c:v>
                </c:pt>
                <c:pt idx="583">
                  <c:v>44313</c:v>
                </c:pt>
                <c:pt idx="584">
                  <c:v>44314</c:v>
                </c:pt>
                <c:pt idx="585">
                  <c:v>44315</c:v>
                </c:pt>
                <c:pt idx="586">
                  <c:v>44316</c:v>
                </c:pt>
                <c:pt idx="587">
                  <c:v>44319</c:v>
                </c:pt>
                <c:pt idx="588">
                  <c:v>44320</c:v>
                </c:pt>
                <c:pt idx="589">
                  <c:v>44321</c:v>
                </c:pt>
                <c:pt idx="590">
                  <c:v>44322</c:v>
                </c:pt>
                <c:pt idx="591">
                  <c:v>44323</c:v>
                </c:pt>
                <c:pt idx="592">
                  <c:v>44326</c:v>
                </c:pt>
                <c:pt idx="593">
                  <c:v>44327</c:v>
                </c:pt>
                <c:pt idx="594">
                  <c:v>44328</c:v>
                </c:pt>
                <c:pt idx="595">
                  <c:v>44329</c:v>
                </c:pt>
                <c:pt idx="596">
                  <c:v>44330</c:v>
                </c:pt>
                <c:pt idx="597">
                  <c:v>44333</c:v>
                </c:pt>
                <c:pt idx="598">
                  <c:v>44334</c:v>
                </c:pt>
                <c:pt idx="599">
                  <c:v>44335</c:v>
                </c:pt>
                <c:pt idx="600">
                  <c:v>44336</c:v>
                </c:pt>
                <c:pt idx="601">
                  <c:v>44337</c:v>
                </c:pt>
                <c:pt idx="602">
                  <c:v>44340</c:v>
                </c:pt>
                <c:pt idx="603">
                  <c:v>44341</c:v>
                </c:pt>
                <c:pt idx="604">
                  <c:v>44342</c:v>
                </c:pt>
                <c:pt idx="605">
                  <c:v>44343</c:v>
                </c:pt>
                <c:pt idx="606">
                  <c:v>44344</c:v>
                </c:pt>
                <c:pt idx="607">
                  <c:v>44348</c:v>
                </c:pt>
                <c:pt idx="608">
                  <c:v>44349</c:v>
                </c:pt>
                <c:pt idx="609">
                  <c:v>44350</c:v>
                </c:pt>
                <c:pt idx="610">
                  <c:v>44351</c:v>
                </c:pt>
                <c:pt idx="611">
                  <c:v>44354</c:v>
                </c:pt>
                <c:pt idx="612">
                  <c:v>44355</c:v>
                </c:pt>
                <c:pt idx="613">
                  <c:v>44356</c:v>
                </c:pt>
                <c:pt idx="614">
                  <c:v>44357</c:v>
                </c:pt>
                <c:pt idx="615">
                  <c:v>44358</c:v>
                </c:pt>
                <c:pt idx="616">
                  <c:v>44361</c:v>
                </c:pt>
                <c:pt idx="617">
                  <c:v>44362</c:v>
                </c:pt>
                <c:pt idx="618">
                  <c:v>44363</c:v>
                </c:pt>
                <c:pt idx="619">
                  <c:v>44364</c:v>
                </c:pt>
                <c:pt idx="620">
                  <c:v>44365</c:v>
                </c:pt>
                <c:pt idx="621">
                  <c:v>44368</c:v>
                </c:pt>
                <c:pt idx="622">
                  <c:v>44369</c:v>
                </c:pt>
                <c:pt idx="623">
                  <c:v>44370</c:v>
                </c:pt>
                <c:pt idx="624">
                  <c:v>44371</c:v>
                </c:pt>
                <c:pt idx="625">
                  <c:v>44372</c:v>
                </c:pt>
                <c:pt idx="626">
                  <c:v>44375</c:v>
                </c:pt>
                <c:pt idx="627">
                  <c:v>44376</c:v>
                </c:pt>
                <c:pt idx="628">
                  <c:v>44377</c:v>
                </c:pt>
                <c:pt idx="629">
                  <c:v>44378</c:v>
                </c:pt>
                <c:pt idx="630">
                  <c:v>44379</c:v>
                </c:pt>
                <c:pt idx="631">
                  <c:v>44383</c:v>
                </c:pt>
                <c:pt idx="632">
                  <c:v>44384</c:v>
                </c:pt>
                <c:pt idx="633">
                  <c:v>44385</c:v>
                </c:pt>
                <c:pt idx="634">
                  <c:v>44386</c:v>
                </c:pt>
                <c:pt idx="635">
                  <c:v>44389</c:v>
                </c:pt>
                <c:pt idx="636">
                  <c:v>44390</c:v>
                </c:pt>
                <c:pt idx="637">
                  <c:v>44391</c:v>
                </c:pt>
                <c:pt idx="638">
                  <c:v>44392</c:v>
                </c:pt>
                <c:pt idx="639">
                  <c:v>44393</c:v>
                </c:pt>
                <c:pt idx="640">
                  <c:v>44396</c:v>
                </c:pt>
                <c:pt idx="641">
                  <c:v>44397</c:v>
                </c:pt>
                <c:pt idx="642">
                  <c:v>44398</c:v>
                </c:pt>
                <c:pt idx="643">
                  <c:v>44399</c:v>
                </c:pt>
                <c:pt idx="644">
                  <c:v>44400</c:v>
                </c:pt>
                <c:pt idx="645">
                  <c:v>44403</c:v>
                </c:pt>
                <c:pt idx="646">
                  <c:v>44404</c:v>
                </c:pt>
                <c:pt idx="647">
                  <c:v>44405</c:v>
                </c:pt>
                <c:pt idx="648">
                  <c:v>44406</c:v>
                </c:pt>
                <c:pt idx="649">
                  <c:v>44407</c:v>
                </c:pt>
                <c:pt idx="650">
                  <c:v>44410</c:v>
                </c:pt>
                <c:pt idx="651">
                  <c:v>44411</c:v>
                </c:pt>
                <c:pt idx="652">
                  <c:v>44412</c:v>
                </c:pt>
                <c:pt idx="653">
                  <c:v>44413</c:v>
                </c:pt>
                <c:pt idx="654">
                  <c:v>44414</c:v>
                </c:pt>
                <c:pt idx="655">
                  <c:v>44417</c:v>
                </c:pt>
                <c:pt idx="656">
                  <c:v>44418</c:v>
                </c:pt>
                <c:pt idx="657">
                  <c:v>44419</c:v>
                </c:pt>
                <c:pt idx="658">
                  <c:v>44420</c:v>
                </c:pt>
                <c:pt idx="659">
                  <c:v>44421</c:v>
                </c:pt>
                <c:pt idx="660">
                  <c:v>44424</c:v>
                </c:pt>
                <c:pt idx="661">
                  <c:v>44425</c:v>
                </c:pt>
                <c:pt idx="662">
                  <c:v>44426</c:v>
                </c:pt>
                <c:pt idx="663">
                  <c:v>44427</c:v>
                </c:pt>
                <c:pt idx="664">
                  <c:v>44428</c:v>
                </c:pt>
                <c:pt idx="665">
                  <c:v>44431</c:v>
                </c:pt>
                <c:pt idx="666">
                  <c:v>44432</c:v>
                </c:pt>
                <c:pt idx="667">
                  <c:v>44433</c:v>
                </c:pt>
                <c:pt idx="668">
                  <c:v>44434</c:v>
                </c:pt>
                <c:pt idx="669">
                  <c:v>44435</c:v>
                </c:pt>
                <c:pt idx="670">
                  <c:v>44438</c:v>
                </c:pt>
                <c:pt idx="671">
                  <c:v>44439</c:v>
                </c:pt>
                <c:pt idx="672">
                  <c:v>44440</c:v>
                </c:pt>
                <c:pt idx="673">
                  <c:v>44441</c:v>
                </c:pt>
                <c:pt idx="674">
                  <c:v>44442</c:v>
                </c:pt>
                <c:pt idx="675">
                  <c:v>44446</c:v>
                </c:pt>
                <c:pt idx="676">
                  <c:v>44447</c:v>
                </c:pt>
                <c:pt idx="677">
                  <c:v>44448</c:v>
                </c:pt>
                <c:pt idx="678">
                  <c:v>44449</c:v>
                </c:pt>
                <c:pt idx="679">
                  <c:v>44452</c:v>
                </c:pt>
                <c:pt idx="680">
                  <c:v>44453</c:v>
                </c:pt>
                <c:pt idx="681">
                  <c:v>44454</c:v>
                </c:pt>
                <c:pt idx="682">
                  <c:v>44455</c:v>
                </c:pt>
                <c:pt idx="683">
                  <c:v>44456</c:v>
                </c:pt>
                <c:pt idx="684">
                  <c:v>44459</c:v>
                </c:pt>
                <c:pt idx="685">
                  <c:v>44460</c:v>
                </c:pt>
                <c:pt idx="686">
                  <c:v>44461</c:v>
                </c:pt>
                <c:pt idx="687">
                  <c:v>44462</c:v>
                </c:pt>
                <c:pt idx="688">
                  <c:v>44463</c:v>
                </c:pt>
                <c:pt idx="689">
                  <c:v>44466</c:v>
                </c:pt>
                <c:pt idx="690">
                  <c:v>44467</c:v>
                </c:pt>
                <c:pt idx="691">
                  <c:v>44468</c:v>
                </c:pt>
                <c:pt idx="692">
                  <c:v>44469</c:v>
                </c:pt>
                <c:pt idx="693">
                  <c:v>44470</c:v>
                </c:pt>
                <c:pt idx="694">
                  <c:v>44473</c:v>
                </c:pt>
                <c:pt idx="695">
                  <c:v>44474</c:v>
                </c:pt>
                <c:pt idx="696">
                  <c:v>44475</c:v>
                </c:pt>
                <c:pt idx="697">
                  <c:v>44476</c:v>
                </c:pt>
                <c:pt idx="698">
                  <c:v>44477</c:v>
                </c:pt>
                <c:pt idx="699">
                  <c:v>44480</c:v>
                </c:pt>
                <c:pt idx="700">
                  <c:v>44481</c:v>
                </c:pt>
                <c:pt idx="701">
                  <c:v>44482</c:v>
                </c:pt>
                <c:pt idx="702">
                  <c:v>44483</c:v>
                </c:pt>
                <c:pt idx="703">
                  <c:v>44484</c:v>
                </c:pt>
                <c:pt idx="704">
                  <c:v>44487</c:v>
                </c:pt>
                <c:pt idx="705">
                  <c:v>44488</c:v>
                </c:pt>
                <c:pt idx="706">
                  <c:v>44489</c:v>
                </c:pt>
                <c:pt idx="707">
                  <c:v>44490</c:v>
                </c:pt>
                <c:pt idx="708">
                  <c:v>44491</c:v>
                </c:pt>
                <c:pt idx="709">
                  <c:v>44494</c:v>
                </c:pt>
                <c:pt idx="710">
                  <c:v>44495</c:v>
                </c:pt>
                <c:pt idx="711">
                  <c:v>44496</c:v>
                </c:pt>
                <c:pt idx="712">
                  <c:v>44497</c:v>
                </c:pt>
                <c:pt idx="713">
                  <c:v>44498</c:v>
                </c:pt>
                <c:pt idx="714">
                  <c:v>44501</c:v>
                </c:pt>
                <c:pt idx="715">
                  <c:v>44502</c:v>
                </c:pt>
                <c:pt idx="716">
                  <c:v>44503</c:v>
                </c:pt>
                <c:pt idx="717">
                  <c:v>44504</c:v>
                </c:pt>
                <c:pt idx="718">
                  <c:v>44505</c:v>
                </c:pt>
                <c:pt idx="719">
                  <c:v>44508</c:v>
                </c:pt>
                <c:pt idx="720">
                  <c:v>44509</c:v>
                </c:pt>
                <c:pt idx="721">
                  <c:v>44510</c:v>
                </c:pt>
                <c:pt idx="722">
                  <c:v>44511</c:v>
                </c:pt>
                <c:pt idx="723">
                  <c:v>44512</c:v>
                </c:pt>
                <c:pt idx="724">
                  <c:v>44515</c:v>
                </c:pt>
                <c:pt idx="725">
                  <c:v>44516</c:v>
                </c:pt>
                <c:pt idx="726">
                  <c:v>44517</c:v>
                </c:pt>
                <c:pt idx="727">
                  <c:v>44518</c:v>
                </c:pt>
                <c:pt idx="728">
                  <c:v>44519</c:v>
                </c:pt>
                <c:pt idx="729">
                  <c:v>44522</c:v>
                </c:pt>
                <c:pt idx="730">
                  <c:v>44523</c:v>
                </c:pt>
                <c:pt idx="731">
                  <c:v>44524</c:v>
                </c:pt>
                <c:pt idx="732">
                  <c:v>44526</c:v>
                </c:pt>
                <c:pt idx="733">
                  <c:v>44529</c:v>
                </c:pt>
                <c:pt idx="734">
                  <c:v>44530</c:v>
                </c:pt>
                <c:pt idx="735">
                  <c:v>44531</c:v>
                </c:pt>
                <c:pt idx="736">
                  <c:v>44532</c:v>
                </c:pt>
                <c:pt idx="737">
                  <c:v>44533</c:v>
                </c:pt>
                <c:pt idx="738">
                  <c:v>44536</c:v>
                </c:pt>
                <c:pt idx="739">
                  <c:v>44537</c:v>
                </c:pt>
                <c:pt idx="740">
                  <c:v>44538</c:v>
                </c:pt>
                <c:pt idx="741">
                  <c:v>44539</c:v>
                </c:pt>
                <c:pt idx="742">
                  <c:v>44540</c:v>
                </c:pt>
                <c:pt idx="743">
                  <c:v>44543</c:v>
                </c:pt>
                <c:pt idx="744">
                  <c:v>44544</c:v>
                </c:pt>
                <c:pt idx="745">
                  <c:v>44545</c:v>
                </c:pt>
                <c:pt idx="746">
                  <c:v>44546</c:v>
                </c:pt>
                <c:pt idx="747">
                  <c:v>44547</c:v>
                </c:pt>
                <c:pt idx="748">
                  <c:v>44550</c:v>
                </c:pt>
                <c:pt idx="749">
                  <c:v>44551</c:v>
                </c:pt>
                <c:pt idx="750">
                  <c:v>44552</c:v>
                </c:pt>
                <c:pt idx="751">
                  <c:v>44553</c:v>
                </c:pt>
                <c:pt idx="752">
                  <c:v>44557</c:v>
                </c:pt>
                <c:pt idx="753">
                  <c:v>44558</c:v>
                </c:pt>
                <c:pt idx="754">
                  <c:v>44559</c:v>
                </c:pt>
                <c:pt idx="755">
                  <c:v>44560</c:v>
                </c:pt>
                <c:pt idx="756">
                  <c:v>44561</c:v>
                </c:pt>
                <c:pt idx="757">
                  <c:v>44564</c:v>
                </c:pt>
                <c:pt idx="758">
                  <c:v>44565</c:v>
                </c:pt>
                <c:pt idx="759">
                  <c:v>44566</c:v>
                </c:pt>
                <c:pt idx="760">
                  <c:v>44567</c:v>
                </c:pt>
                <c:pt idx="761">
                  <c:v>44568</c:v>
                </c:pt>
                <c:pt idx="762">
                  <c:v>44571</c:v>
                </c:pt>
                <c:pt idx="763">
                  <c:v>44572</c:v>
                </c:pt>
                <c:pt idx="764">
                  <c:v>44573</c:v>
                </c:pt>
                <c:pt idx="765">
                  <c:v>44574</c:v>
                </c:pt>
                <c:pt idx="766">
                  <c:v>44575</c:v>
                </c:pt>
                <c:pt idx="767">
                  <c:v>44579</c:v>
                </c:pt>
                <c:pt idx="768">
                  <c:v>44580</c:v>
                </c:pt>
                <c:pt idx="769">
                  <c:v>44581</c:v>
                </c:pt>
                <c:pt idx="770">
                  <c:v>44582</c:v>
                </c:pt>
                <c:pt idx="771">
                  <c:v>44585</c:v>
                </c:pt>
                <c:pt idx="772">
                  <c:v>44586</c:v>
                </c:pt>
                <c:pt idx="773">
                  <c:v>44587</c:v>
                </c:pt>
                <c:pt idx="774">
                  <c:v>44588</c:v>
                </c:pt>
                <c:pt idx="775">
                  <c:v>44589</c:v>
                </c:pt>
                <c:pt idx="776">
                  <c:v>44592</c:v>
                </c:pt>
                <c:pt idx="777">
                  <c:v>44593</c:v>
                </c:pt>
                <c:pt idx="778">
                  <c:v>44594</c:v>
                </c:pt>
                <c:pt idx="779">
                  <c:v>44595</c:v>
                </c:pt>
                <c:pt idx="780">
                  <c:v>44596</c:v>
                </c:pt>
                <c:pt idx="781">
                  <c:v>44599</c:v>
                </c:pt>
                <c:pt idx="782">
                  <c:v>44600</c:v>
                </c:pt>
                <c:pt idx="783">
                  <c:v>44601</c:v>
                </c:pt>
                <c:pt idx="784">
                  <c:v>44602</c:v>
                </c:pt>
                <c:pt idx="785">
                  <c:v>44603</c:v>
                </c:pt>
                <c:pt idx="786">
                  <c:v>44606</c:v>
                </c:pt>
                <c:pt idx="787">
                  <c:v>44607</c:v>
                </c:pt>
                <c:pt idx="788">
                  <c:v>44608</c:v>
                </c:pt>
                <c:pt idx="789">
                  <c:v>44609</c:v>
                </c:pt>
                <c:pt idx="790">
                  <c:v>44610</c:v>
                </c:pt>
                <c:pt idx="791">
                  <c:v>44614</c:v>
                </c:pt>
                <c:pt idx="792">
                  <c:v>44615</c:v>
                </c:pt>
                <c:pt idx="793">
                  <c:v>44616</c:v>
                </c:pt>
                <c:pt idx="794">
                  <c:v>44617</c:v>
                </c:pt>
                <c:pt idx="795">
                  <c:v>44620</c:v>
                </c:pt>
                <c:pt idx="796">
                  <c:v>44621</c:v>
                </c:pt>
                <c:pt idx="797">
                  <c:v>44622</c:v>
                </c:pt>
                <c:pt idx="798">
                  <c:v>44623</c:v>
                </c:pt>
                <c:pt idx="799">
                  <c:v>44624</c:v>
                </c:pt>
                <c:pt idx="800">
                  <c:v>44627</c:v>
                </c:pt>
                <c:pt idx="801">
                  <c:v>44628</c:v>
                </c:pt>
                <c:pt idx="802">
                  <c:v>44629</c:v>
                </c:pt>
                <c:pt idx="803">
                  <c:v>44630</c:v>
                </c:pt>
                <c:pt idx="804">
                  <c:v>44631</c:v>
                </c:pt>
                <c:pt idx="805">
                  <c:v>44634</c:v>
                </c:pt>
                <c:pt idx="806">
                  <c:v>44635</c:v>
                </c:pt>
                <c:pt idx="807">
                  <c:v>44636</c:v>
                </c:pt>
                <c:pt idx="808">
                  <c:v>44637</c:v>
                </c:pt>
                <c:pt idx="809">
                  <c:v>44638</c:v>
                </c:pt>
                <c:pt idx="810">
                  <c:v>44641</c:v>
                </c:pt>
                <c:pt idx="811">
                  <c:v>44642</c:v>
                </c:pt>
                <c:pt idx="812">
                  <c:v>44643</c:v>
                </c:pt>
                <c:pt idx="813">
                  <c:v>44644</c:v>
                </c:pt>
                <c:pt idx="814">
                  <c:v>44645</c:v>
                </c:pt>
                <c:pt idx="815">
                  <c:v>44648</c:v>
                </c:pt>
                <c:pt idx="816">
                  <c:v>44649</c:v>
                </c:pt>
                <c:pt idx="817">
                  <c:v>44650</c:v>
                </c:pt>
                <c:pt idx="818">
                  <c:v>44651</c:v>
                </c:pt>
                <c:pt idx="819">
                  <c:v>44652</c:v>
                </c:pt>
                <c:pt idx="820">
                  <c:v>44655</c:v>
                </c:pt>
                <c:pt idx="821">
                  <c:v>44656</c:v>
                </c:pt>
                <c:pt idx="822">
                  <c:v>44657</c:v>
                </c:pt>
                <c:pt idx="823">
                  <c:v>44658</c:v>
                </c:pt>
                <c:pt idx="824">
                  <c:v>44659</c:v>
                </c:pt>
                <c:pt idx="825">
                  <c:v>44662</c:v>
                </c:pt>
                <c:pt idx="826">
                  <c:v>44663</c:v>
                </c:pt>
                <c:pt idx="827">
                  <c:v>44664</c:v>
                </c:pt>
                <c:pt idx="828">
                  <c:v>44665</c:v>
                </c:pt>
                <c:pt idx="829">
                  <c:v>44669</c:v>
                </c:pt>
                <c:pt idx="830">
                  <c:v>44670</c:v>
                </c:pt>
                <c:pt idx="831">
                  <c:v>44671</c:v>
                </c:pt>
                <c:pt idx="832">
                  <c:v>44672</c:v>
                </c:pt>
                <c:pt idx="833">
                  <c:v>44673</c:v>
                </c:pt>
                <c:pt idx="834">
                  <c:v>44676</c:v>
                </c:pt>
                <c:pt idx="835">
                  <c:v>44677</c:v>
                </c:pt>
                <c:pt idx="836">
                  <c:v>44678</c:v>
                </c:pt>
                <c:pt idx="837">
                  <c:v>44679</c:v>
                </c:pt>
                <c:pt idx="838">
                  <c:v>44680</c:v>
                </c:pt>
                <c:pt idx="839">
                  <c:v>44683</c:v>
                </c:pt>
                <c:pt idx="840">
                  <c:v>44684</c:v>
                </c:pt>
                <c:pt idx="841">
                  <c:v>44685</c:v>
                </c:pt>
                <c:pt idx="842">
                  <c:v>44686</c:v>
                </c:pt>
                <c:pt idx="843">
                  <c:v>44687</c:v>
                </c:pt>
                <c:pt idx="844">
                  <c:v>44690</c:v>
                </c:pt>
                <c:pt idx="845">
                  <c:v>44691</c:v>
                </c:pt>
                <c:pt idx="846">
                  <c:v>44692</c:v>
                </c:pt>
                <c:pt idx="847">
                  <c:v>44693</c:v>
                </c:pt>
                <c:pt idx="848">
                  <c:v>44694</c:v>
                </c:pt>
                <c:pt idx="849">
                  <c:v>44697</c:v>
                </c:pt>
                <c:pt idx="850">
                  <c:v>44698</c:v>
                </c:pt>
                <c:pt idx="851">
                  <c:v>44699</c:v>
                </c:pt>
                <c:pt idx="852">
                  <c:v>44700</c:v>
                </c:pt>
                <c:pt idx="853">
                  <c:v>44701</c:v>
                </c:pt>
                <c:pt idx="854">
                  <c:v>44704</c:v>
                </c:pt>
                <c:pt idx="855">
                  <c:v>44705</c:v>
                </c:pt>
                <c:pt idx="856">
                  <c:v>44706</c:v>
                </c:pt>
                <c:pt idx="857">
                  <c:v>44707</c:v>
                </c:pt>
                <c:pt idx="858">
                  <c:v>44708</c:v>
                </c:pt>
                <c:pt idx="859">
                  <c:v>44712</c:v>
                </c:pt>
                <c:pt idx="860">
                  <c:v>44713</c:v>
                </c:pt>
                <c:pt idx="861">
                  <c:v>44714</c:v>
                </c:pt>
                <c:pt idx="862">
                  <c:v>44715</c:v>
                </c:pt>
                <c:pt idx="863">
                  <c:v>44718</c:v>
                </c:pt>
                <c:pt idx="864">
                  <c:v>44719</c:v>
                </c:pt>
                <c:pt idx="865">
                  <c:v>44720</c:v>
                </c:pt>
                <c:pt idx="866">
                  <c:v>44721</c:v>
                </c:pt>
                <c:pt idx="867">
                  <c:v>44722</c:v>
                </c:pt>
                <c:pt idx="868">
                  <c:v>44725</c:v>
                </c:pt>
                <c:pt idx="869">
                  <c:v>44726</c:v>
                </c:pt>
                <c:pt idx="870">
                  <c:v>44727</c:v>
                </c:pt>
                <c:pt idx="871">
                  <c:v>44728</c:v>
                </c:pt>
                <c:pt idx="872">
                  <c:v>44729</c:v>
                </c:pt>
                <c:pt idx="873">
                  <c:v>44733</c:v>
                </c:pt>
                <c:pt idx="874">
                  <c:v>44734</c:v>
                </c:pt>
                <c:pt idx="875">
                  <c:v>44735</c:v>
                </c:pt>
                <c:pt idx="876">
                  <c:v>44736</c:v>
                </c:pt>
                <c:pt idx="877">
                  <c:v>44739</c:v>
                </c:pt>
                <c:pt idx="878">
                  <c:v>44740</c:v>
                </c:pt>
                <c:pt idx="879">
                  <c:v>44741</c:v>
                </c:pt>
                <c:pt idx="880">
                  <c:v>44742</c:v>
                </c:pt>
                <c:pt idx="881">
                  <c:v>44743</c:v>
                </c:pt>
                <c:pt idx="882">
                  <c:v>44747</c:v>
                </c:pt>
                <c:pt idx="883">
                  <c:v>44748</c:v>
                </c:pt>
                <c:pt idx="884">
                  <c:v>44749</c:v>
                </c:pt>
                <c:pt idx="885">
                  <c:v>44750</c:v>
                </c:pt>
                <c:pt idx="886">
                  <c:v>44753</c:v>
                </c:pt>
                <c:pt idx="887">
                  <c:v>44754</c:v>
                </c:pt>
                <c:pt idx="888">
                  <c:v>44755</c:v>
                </c:pt>
                <c:pt idx="889">
                  <c:v>44756</c:v>
                </c:pt>
                <c:pt idx="890">
                  <c:v>44757</c:v>
                </c:pt>
                <c:pt idx="891">
                  <c:v>44760</c:v>
                </c:pt>
                <c:pt idx="892">
                  <c:v>44761</c:v>
                </c:pt>
                <c:pt idx="893">
                  <c:v>44762</c:v>
                </c:pt>
                <c:pt idx="894">
                  <c:v>44763</c:v>
                </c:pt>
                <c:pt idx="895">
                  <c:v>44764</c:v>
                </c:pt>
                <c:pt idx="896">
                  <c:v>44767</c:v>
                </c:pt>
                <c:pt idx="897">
                  <c:v>44768</c:v>
                </c:pt>
                <c:pt idx="898">
                  <c:v>44769</c:v>
                </c:pt>
                <c:pt idx="899">
                  <c:v>44770</c:v>
                </c:pt>
                <c:pt idx="900">
                  <c:v>44771</c:v>
                </c:pt>
                <c:pt idx="901">
                  <c:v>44774</c:v>
                </c:pt>
                <c:pt idx="902">
                  <c:v>44775</c:v>
                </c:pt>
                <c:pt idx="903">
                  <c:v>44776</c:v>
                </c:pt>
                <c:pt idx="904">
                  <c:v>44777</c:v>
                </c:pt>
                <c:pt idx="905">
                  <c:v>44778</c:v>
                </c:pt>
                <c:pt idx="906">
                  <c:v>44781</c:v>
                </c:pt>
                <c:pt idx="907">
                  <c:v>44782</c:v>
                </c:pt>
                <c:pt idx="908">
                  <c:v>44783</c:v>
                </c:pt>
                <c:pt idx="909">
                  <c:v>44784</c:v>
                </c:pt>
                <c:pt idx="910">
                  <c:v>44785</c:v>
                </c:pt>
                <c:pt idx="911">
                  <c:v>44788</c:v>
                </c:pt>
                <c:pt idx="912">
                  <c:v>44789</c:v>
                </c:pt>
                <c:pt idx="913">
                  <c:v>44790</c:v>
                </c:pt>
                <c:pt idx="914">
                  <c:v>44791</c:v>
                </c:pt>
                <c:pt idx="915">
                  <c:v>44792</c:v>
                </c:pt>
                <c:pt idx="916">
                  <c:v>44795</c:v>
                </c:pt>
                <c:pt idx="917">
                  <c:v>44796</c:v>
                </c:pt>
                <c:pt idx="918">
                  <c:v>44797</c:v>
                </c:pt>
                <c:pt idx="919">
                  <c:v>44798</c:v>
                </c:pt>
                <c:pt idx="920">
                  <c:v>44799</c:v>
                </c:pt>
                <c:pt idx="921">
                  <c:v>44802</c:v>
                </c:pt>
                <c:pt idx="922">
                  <c:v>44803</c:v>
                </c:pt>
                <c:pt idx="923">
                  <c:v>44804</c:v>
                </c:pt>
                <c:pt idx="924">
                  <c:v>44805</c:v>
                </c:pt>
                <c:pt idx="925">
                  <c:v>44806</c:v>
                </c:pt>
                <c:pt idx="926">
                  <c:v>44810</c:v>
                </c:pt>
                <c:pt idx="927">
                  <c:v>44811</c:v>
                </c:pt>
                <c:pt idx="928">
                  <c:v>44812</c:v>
                </c:pt>
                <c:pt idx="929">
                  <c:v>44813</c:v>
                </c:pt>
                <c:pt idx="930">
                  <c:v>44816</c:v>
                </c:pt>
                <c:pt idx="931">
                  <c:v>44817</c:v>
                </c:pt>
                <c:pt idx="932">
                  <c:v>44818</c:v>
                </c:pt>
                <c:pt idx="933">
                  <c:v>44819</c:v>
                </c:pt>
                <c:pt idx="934">
                  <c:v>44820</c:v>
                </c:pt>
                <c:pt idx="935">
                  <c:v>44823</c:v>
                </c:pt>
                <c:pt idx="936">
                  <c:v>44824</c:v>
                </c:pt>
                <c:pt idx="937">
                  <c:v>44825</c:v>
                </c:pt>
                <c:pt idx="938">
                  <c:v>44826</c:v>
                </c:pt>
                <c:pt idx="939">
                  <c:v>44827</c:v>
                </c:pt>
                <c:pt idx="940">
                  <c:v>44830</c:v>
                </c:pt>
                <c:pt idx="941">
                  <c:v>44831</c:v>
                </c:pt>
                <c:pt idx="942">
                  <c:v>44832</c:v>
                </c:pt>
                <c:pt idx="943">
                  <c:v>44833</c:v>
                </c:pt>
                <c:pt idx="944">
                  <c:v>44834</c:v>
                </c:pt>
                <c:pt idx="945">
                  <c:v>44837</c:v>
                </c:pt>
                <c:pt idx="946">
                  <c:v>44838</c:v>
                </c:pt>
                <c:pt idx="947">
                  <c:v>44839</c:v>
                </c:pt>
                <c:pt idx="948">
                  <c:v>44840</c:v>
                </c:pt>
                <c:pt idx="949">
                  <c:v>44841</c:v>
                </c:pt>
                <c:pt idx="950">
                  <c:v>44844</c:v>
                </c:pt>
                <c:pt idx="951">
                  <c:v>44845</c:v>
                </c:pt>
                <c:pt idx="952">
                  <c:v>44846</c:v>
                </c:pt>
                <c:pt idx="953">
                  <c:v>44847</c:v>
                </c:pt>
                <c:pt idx="954">
                  <c:v>44848</c:v>
                </c:pt>
                <c:pt idx="955">
                  <c:v>44851</c:v>
                </c:pt>
                <c:pt idx="956">
                  <c:v>44852</c:v>
                </c:pt>
                <c:pt idx="957">
                  <c:v>44853</c:v>
                </c:pt>
                <c:pt idx="958">
                  <c:v>44854</c:v>
                </c:pt>
                <c:pt idx="959">
                  <c:v>44855</c:v>
                </c:pt>
                <c:pt idx="960">
                  <c:v>44858</c:v>
                </c:pt>
                <c:pt idx="961">
                  <c:v>44859</c:v>
                </c:pt>
                <c:pt idx="962">
                  <c:v>44860</c:v>
                </c:pt>
                <c:pt idx="963">
                  <c:v>44861</c:v>
                </c:pt>
                <c:pt idx="964">
                  <c:v>44862</c:v>
                </c:pt>
                <c:pt idx="965">
                  <c:v>44865</c:v>
                </c:pt>
                <c:pt idx="966">
                  <c:v>44866</c:v>
                </c:pt>
                <c:pt idx="967">
                  <c:v>44867</c:v>
                </c:pt>
                <c:pt idx="968">
                  <c:v>44868</c:v>
                </c:pt>
                <c:pt idx="969">
                  <c:v>44869</c:v>
                </c:pt>
                <c:pt idx="970">
                  <c:v>44872</c:v>
                </c:pt>
                <c:pt idx="971">
                  <c:v>44873</c:v>
                </c:pt>
                <c:pt idx="972">
                  <c:v>44874</c:v>
                </c:pt>
                <c:pt idx="973">
                  <c:v>44875</c:v>
                </c:pt>
                <c:pt idx="974">
                  <c:v>44876</c:v>
                </c:pt>
                <c:pt idx="975">
                  <c:v>44879</c:v>
                </c:pt>
                <c:pt idx="976">
                  <c:v>44880</c:v>
                </c:pt>
                <c:pt idx="977">
                  <c:v>44881</c:v>
                </c:pt>
                <c:pt idx="978">
                  <c:v>44882</c:v>
                </c:pt>
                <c:pt idx="979">
                  <c:v>44883</c:v>
                </c:pt>
                <c:pt idx="980">
                  <c:v>44886</c:v>
                </c:pt>
                <c:pt idx="981">
                  <c:v>44887</c:v>
                </c:pt>
                <c:pt idx="982">
                  <c:v>44888</c:v>
                </c:pt>
                <c:pt idx="983">
                  <c:v>44890</c:v>
                </c:pt>
                <c:pt idx="984">
                  <c:v>44893</c:v>
                </c:pt>
                <c:pt idx="985">
                  <c:v>44894</c:v>
                </c:pt>
                <c:pt idx="986">
                  <c:v>44895</c:v>
                </c:pt>
                <c:pt idx="987">
                  <c:v>44896</c:v>
                </c:pt>
                <c:pt idx="988">
                  <c:v>44897</c:v>
                </c:pt>
                <c:pt idx="989">
                  <c:v>44900</c:v>
                </c:pt>
                <c:pt idx="990">
                  <c:v>44901</c:v>
                </c:pt>
                <c:pt idx="991">
                  <c:v>44902</c:v>
                </c:pt>
                <c:pt idx="992">
                  <c:v>44903</c:v>
                </c:pt>
                <c:pt idx="993">
                  <c:v>44904</c:v>
                </c:pt>
                <c:pt idx="994">
                  <c:v>44907</c:v>
                </c:pt>
                <c:pt idx="995">
                  <c:v>44908</c:v>
                </c:pt>
                <c:pt idx="996">
                  <c:v>44909</c:v>
                </c:pt>
                <c:pt idx="997">
                  <c:v>44910</c:v>
                </c:pt>
                <c:pt idx="998">
                  <c:v>44911</c:v>
                </c:pt>
                <c:pt idx="999">
                  <c:v>44914</c:v>
                </c:pt>
                <c:pt idx="1000">
                  <c:v>44915</c:v>
                </c:pt>
                <c:pt idx="1001">
                  <c:v>44916</c:v>
                </c:pt>
                <c:pt idx="1002">
                  <c:v>44917</c:v>
                </c:pt>
                <c:pt idx="1003">
                  <c:v>44918</c:v>
                </c:pt>
                <c:pt idx="1004">
                  <c:v>44922</c:v>
                </c:pt>
              </c:numCache>
            </c:numRef>
          </c:cat>
          <c:val>
            <c:numRef>
              <c:f>META!$H$2:$H$1006</c:f>
              <c:numCache>
                <c:formatCode>0.00%</c:formatCode>
                <c:ptCount val="1005"/>
                <c:pt idx="0">
                  <c:v>0</c:v>
                </c:pt>
                <c:pt idx="1">
                  <c:v>-2.9038828149114071E-2</c:v>
                </c:pt>
                <c:pt idx="2">
                  <c:v>4.7138240202738713E-2</c:v>
                </c:pt>
                <c:pt idx="3">
                  <c:v>7.249438359901994E-4</c:v>
                </c:pt>
                <c:pt idx="4">
                  <c:v>3.2451980461021712E-2</c:v>
                </c:pt>
                <c:pt idx="5">
                  <c:v>1.1927292583507221E-2</c:v>
                </c:pt>
                <c:pt idx="6">
                  <c:v>-2.0799418173733653E-4</c:v>
                </c:pt>
                <c:pt idx="7">
                  <c:v>-2.7738835528546835E-3</c:v>
                </c:pt>
                <c:pt idx="8">
                  <c:v>1.1056995596863795E-2</c:v>
                </c:pt>
                <c:pt idx="9">
                  <c:v>2.448585201517206E-2</c:v>
                </c:pt>
                <c:pt idx="10">
                  <c:v>-9.4662908922380495E-3</c:v>
                </c:pt>
                <c:pt idx="11">
                  <c:v>5.1512134747084826E-3</c:v>
                </c:pt>
                <c:pt idx="12">
                  <c:v>1.1732906033724122E-2</c:v>
                </c:pt>
                <c:pt idx="13">
                  <c:v>-1.6462184185785711E-2</c:v>
                </c:pt>
                <c:pt idx="14">
                  <c:v>-2.2159001456169891E-2</c:v>
                </c:pt>
                <c:pt idx="15">
                  <c:v>1.0602903452469059E-2</c:v>
                </c:pt>
                <c:pt idx="16">
                  <c:v>2.1806164413273432E-2</c:v>
                </c:pt>
                <c:pt idx="17">
                  <c:v>-1.0334836934931868E-2</c:v>
                </c:pt>
                <c:pt idx="18">
                  <c:v>-2.2241804962081724E-2</c:v>
                </c:pt>
                <c:pt idx="19">
                  <c:v>4.3206851470880769E-2</c:v>
                </c:pt>
                <c:pt idx="20">
                  <c:v>0.10816383603462087</c:v>
                </c:pt>
                <c:pt idx="21">
                  <c:v>-5.8791468488914589E-3</c:v>
                </c:pt>
                <c:pt idx="22">
                  <c:v>2.1362578302226654E-2</c:v>
                </c:pt>
                <c:pt idx="23">
                  <c:v>1.1285104874446006E-2</c:v>
                </c:pt>
                <c:pt idx="24">
                  <c:v>-3.9144600627608606E-3</c:v>
                </c:pt>
                <c:pt idx="25">
                  <c:v>-2.4106985039973328E-2</c:v>
                </c:pt>
                <c:pt idx="26">
                  <c:v>5.7098026893316334E-3</c:v>
                </c:pt>
                <c:pt idx="27">
                  <c:v>-9.2034242610000705E-3</c:v>
                </c:pt>
                <c:pt idx="28">
                  <c:v>-4.5237953535591791E-3</c:v>
                </c:pt>
                <c:pt idx="29">
                  <c:v>-5.8772784848579729E-3</c:v>
                </c:pt>
                <c:pt idx="30">
                  <c:v>-7.3145605460966934E-4</c:v>
                </c:pt>
                <c:pt idx="31">
                  <c:v>-8.8441416683893159E-3</c:v>
                </c:pt>
                <c:pt idx="32">
                  <c:v>-1.2923507692307323E-3</c:v>
                </c:pt>
                <c:pt idx="33">
                  <c:v>1.6637193397377459E-3</c:v>
                </c:pt>
                <c:pt idx="34">
                  <c:v>-1.5501999452534387E-2</c:v>
                </c:pt>
                <c:pt idx="35">
                  <c:v>1.1559648093711017E-2</c:v>
                </c:pt>
                <c:pt idx="36">
                  <c:v>1.6863277638293095E-2</c:v>
                </c:pt>
                <c:pt idx="37">
                  <c:v>-2.9764914037324619E-3</c:v>
                </c:pt>
                <c:pt idx="38">
                  <c:v>-8.0424478144627276E-3</c:v>
                </c:pt>
                <c:pt idx="39">
                  <c:v>-8.3533014968774078E-3</c:v>
                </c:pt>
                <c:pt idx="40">
                  <c:v>5.1409229818690783E-3</c:v>
                </c:pt>
                <c:pt idx="41">
                  <c:v>3.1365516584702435E-2</c:v>
                </c:pt>
                <c:pt idx="42">
                  <c:v>2.3241919795719657E-2</c:v>
                </c:pt>
                <c:pt idx="43">
                  <c:v>7.2988440762244977E-3</c:v>
                </c:pt>
                <c:pt idx="44">
                  <c:v>-1.9593009668802064E-2</c:v>
                </c:pt>
                <c:pt idx="45">
                  <c:v>2.7789332827135027E-3</c:v>
                </c:pt>
                <c:pt idx="46">
                  <c:v>1.4563684626284656E-2</c:v>
                </c:pt>
                <c:pt idx="47">
                  <c:v>-8.7179051489205683E-4</c:v>
                </c:pt>
                <c:pt idx="48">
                  <c:v>8.4341380692662948E-3</c:v>
                </c:pt>
                <c:pt idx="49">
                  <c:v>-1.8457617190333342E-2</c:v>
                </c:pt>
                <c:pt idx="50">
                  <c:v>-2.462244842948158E-2</c:v>
                </c:pt>
                <c:pt idx="51">
                  <c:v>-3.3196741371171012E-2</c:v>
                </c:pt>
                <c:pt idx="52">
                  <c:v>6.8549011849261543E-3</c:v>
                </c:pt>
                <c:pt idx="53">
                  <c:v>2.3952434439146852E-2</c:v>
                </c:pt>
                <c:pt idx="54">
                  <c:v>3.8684719068124984E-3</c:v>
                </c:pt>
                <c:pt idx="55">
                  <c:v>-1.0476914613717248E-2</c:v>
                </c:pt>
                <c:pt idx="56">
                  <c:v>1.18656264297341E-2</c:v>
                </c:pt>
                <c:pt idx="57">
                  <c:v>8.358891445740646E-3</c:v>
                </c:pt>
                <c:pt idx="58">
                  <c:v>-1.0794358752150068E-2</c:v>
                </c:pt>
                <c:pt idx="59">
                  <c:v>-1.9291735072397564E-3</c:v>
                </c:pt>
                <c:pt idx="60">
                  <c:v>6.886130953437597E-3</c:v>
                </c:pt>
                <c:pt idx="61">
                  <c:v>1.2058281695863204E-2</c:v>
                </c:pt>
                <c:pt idx="62">
                  <c:v>3.2602253099032419E-2</c:v>
                </c:pt>
                <c:pt idx="63">
                  <c:v>-3.7887715922290122E-3</c:v>
                </c:pt>
                <c:pt idx="64">
                  <c:v>1.4290717414054521E-2</c:v>
                </c:pt>
                <c:pt idx="65">
                  <c:v>-1.704368782993626E-3</c:v>
                </c:pt>
                <c:pt idx="66">
                  <c:v>-4.4958342562267939E-3</c:v>
                </c:pt>
                <c:pt idx="67">
                  <c:v>1.5148968764893356E-2</c:v>
                </c:pt>
                <c:pt idx="68">
                  <c:v>1.3515316887990902E-3</c:v>
                </c:pt>
                <c:pt idx="69">
                  <c:v>-1.7434033730523435E-3</c:v>
                </c:pt>
                <c:pt idx="70">
                  <c:v>8.957304066173899E-3</c:v>
                </c:pt>
                <c:pt idx="71">
                  <c:v>3.0708430015351507E-3</c:v>
                </c:pt>
                <c:pt idx="72">
                  <c:v>-4.3417702535520908E-3</c:v>
                </c:pt>
                <c:pt idx="73">
                  <c:v>-5.0313637007692869E-4</c:v>
                </c:pt>
                <c:pt idx="74">
                  <c:v>-2.7967334310142755E-3</c:v>
                </c:pt>
                <c:pt idx="75">
                  <c:v>1.7724944007880383E-2</c:v>
                </c:pt>
                <c:pt idx="76">
                  <c:v>1.2896808720273434E-2</c:v>
                </c:pt>
                <c:pt idx="77">
                  <c:v>-6.5295299082028802E-3</c:v>
                </c:pt>
                <c:pt idx="78">
                  <c:v>5.8494867362308467E-2</c:v>
                </c:pt>
                <c:pt idx="79">
                  <c:v>-9.1585948762961111E-3</c:v>
                </c:pt>
                <c:pt idx="80">
                  <c:v>1.7181022059088669E-2</c:v>
                </c:pt>
                <c:pt idx="81">
                  <c:v>-7.0849420222043324E-3</c:v>
                </c:pt>
                <c:pt idx="82">
                  <c:v>-1.9131076084727416E-3</c:v>
                </c:pt>
                <c:pt idx="83">
                  <c:v>-2.5902709557595882E-3</c:v>
                </c:pt>
                <c:pt idx="84">
                  <c:v>1.5270357945620594E-2</c:v>
                </c:pt>
                <c:pt idx="85">
                  <c:v>-8.13422004330977E-3</c:v>
                </c:pt>
                <c:pt idx="86">
                  <c:v>-2.1198684206759744E-2</c:v>
                </c:pt>
                <c:pt idx="87">
                  <c:v>-1.2120514051313647E-3</c:v>
                </c:pt>
                <c:pt idx="88">
                  <c:v>-4.6955736671363546E-3</c:v>
                </c:pt>
                <c:pt idx="89">
                  <c:v>-1.6432441550990884E-3</c:v>
                </c:pt>
                <c:pt idx="90">
                  <c:v>-3.6104933335561973E-2</c:v>
                </c:pt>
                <c:pt idx="91">
                  <c:v>-4.4618102414492045E-3</c:v>
                </c:pt>
                <c:pt idx="92">
                  <c:v>3.0653505907231926E-2</c:v>
                </c:pt>
                <c:pt idx="93">
                  <c:v>3.8653620257611543E-3</c:v>
                </c:pt>
                <c:pt idx="94">
                  <c:v>-9.0379269202115475E-3</c:v>
                </c:pt>
                <c:pt idx="95">
                  <c:v>-1.3923378080031745E-2</c:v>
                </c:pt>
                <c:pt idx="96">
                  <c:v>1.1493027520287802E-2</c:v>
                </c:pt>
                <c:pt idx="97">
                  <c:v>2.7053348179995051E-3</c:v>
                </c:pt>
                <c:pt idx="98">
                  <c:v>-2.40125827320955E-2</c:v>
                </c:pt>
                <c:pt idx="99">
                  <c:v>1.05049485958153E-3</c:v>
                </c:pt>
                <c:pt idx="100">
                  <c:v>1.7949851076437096E-2</c:v>
                </c:pt>
                <c:pt idx="101">
                  <c:v>-1.150233857633709E-2</c:v>
                </c:pt>
                <c:pt idx="102">
                  <c:v>4.500757401605382E-3</c:v>
                </c:pt>
                <c:pt idx="103">
                  <c:v>-3.0271537901522816E-2</c:v>
                </c:pt>
                <c:pt idx="104">
                  <c:v>-7.5054977883276197E-2</c:v>
                </c:pt>
                <c:pt idx="105">
                  <c:v>2.0408200563199586E-2</c:v>
                </c:pt>
                <c:pt idx="106">
                  <c:v>3.9999880597014759E-3</c:v>
                </c:pt>
                <c:pt idx="107">
                  <c:v>9.5144200453645134E-4</c:v>
                </c:pt>
                <c:pt idx="108">
                  <c:v>2.9822396128766249E-2</c:v>
                </c:pt>
                <c:pt idx="109">
                  <c:v>8.4799593257585126E-3</c:v>
                </c:pt>
                <c:pt idx="110">
                  <c:v>1.8762148888370689E-2</c:v>
                </c:pt>
                <c:pt idx="111">
                  <c:v>-1.7181431201074737E-2</c:v>
                </c:pt>
                <c:pt idx="112">
                  <c:v>1.3882587392470835E-2</c:v>
                </c:pt>
                <c:pt idx="113">
                  <c:v>2.1750160467965518E-2</c:v>
                </c:pt>
                <c:pt idx="114">
                  <c:v>4.2353680666699534E-2</c:v>
                </c:pt>
                <c:pt idx="115">
                  <c:v>-2.8569600247860816E-3</c:v>
                </c:pt>
                <c:pt idx="116">
                  <c:v>-5.2528518849002115E-3</c:v>
                </c:pt>
                <c:pt idx="117">
                  <c:v>1.0934515914967191E-2</c:v>
                </c:pt>
                <c:pt idx="118">
                  <c:v>8.4946974542008391E-3</c:v>
                </c:pt>
                <c:pt idx="119">
                  <c:v>7.6384169071803676E-3</c:v>
                </c:pt>
                <c:pt idx="120">
                  <c:v>-1.9522377377288347E-2</c:v>
                </c:pt>
                <c:pt idx="121">
                  <c:v>-6.248633896391409E-3</c:v>
                </c:pt>
                <c:pt idx="122">
                  <c:v>9.8049449045094494E-3</c:v>
                </c:pt>
                <c:pt idx="123">
                  <c:v>1.846965699208436E-2</c:v>
                </c:pt>
                <c:pt idx="124">
                  <c:v>0</c:v>
                </c:pt>
                <c:pt idx="125">
                  <c:v>1.0362694300518172E-2</c:v>
                </c:pt>
                <c:pt idx="126">
                  <c:v>1.1282035897435927E-2</c:v>
                </c:pt>
                <c:pt idx="127">
                  <c:v>-4.0568104065438204E-3</c:v>
                </c:pt>
                <c:pt idx="128">
                  <c:v>-3.2586508123823021E-3</c:v>
                </c:pt>
                <c:pt idx="129">
                  <c:v>1.7623682509799732E-2</c:v>
                </c:pt>
                <c:pt idx="130">
                  <c:v>1.7669739853982458E-2</c:v>
                </c:pt>
                <c:pt idx="131">
                  <c:v>-7.399003746835775E-3</c:v>
                </c:pt>
                <c:pt idx="132">
                  <c:v>1.8088749552029881E-2</c:v>
                </c:pt>
                <c:pt idx="133">
                  <c:v>-4.6858545586434541E-3</c:v>
                </c:pt>
                <c:pt idx="134">
                  <c:v>-3.4332793206148793E-4</c:v>
                </c:pt>
                <c:pt idx="135">
                  <c:v>-1.0007815149289945E-2</c:v>
                </c:pt>
                <c:pt idx="136">
                  <c:v>-5.0545291617265509E-3</c:v>
                </c:pt>
                <c:pt idx="137">
                  <c:v>-1.2052983424907793E-2</c:v>
                </c:pt>
                <c:pt idx="138">
                  <c:v>1.9963732506736553E-2</c:v>
                </c:pt>
                <c:pt idx="139">
                  <c:v>1.9767694057071239E-4</c:v>
                </c:pt>
                <c:pt idx="140">
                  <c:v>1.1365897354388643E-2</c:v>
                </c:pt>
                <c:pt idx="141">
                  <c:v>-1.9300287905789304E-2</c:v>
                </c:pt>
                <c:pt idx="142">
                  <c:v>-4.783054987387847E-3</c:v>
                </c:pt>
                <c:pt idx="143">
                  <c:v>-1.9073832290362969E-2</c:v>
                </c:pt>
                <c:pt idx="144">
                  <c:v>5.6139174684708415E-3</c:v>
                </c:pt>
                <c:pt idx="145">
                  <c:v>-1.4261049024702377E-2</c:v>
                </c:pt>
                <c:pt idx="146">
                  <c:v>-7.7228030216300869E-3</c:v>
                </c:pt>
                <c:pt idx="147">
                  <c:v>-1.9249686488863937E-2</c:v>
                </c:pt>
                <c:pt idx="148">
                  <c:v>-3.8567388878057551E-2</c:v>
                </c:pt>
                <c:pt idx="149">
                  <c:v>1.5297414082373173E-2</c:v>
                </c:pt>
                <c:pt idx="150">
                  <c:v>3.4686413600519828E-3</c:v>
                </c:pt>
                <c:pt idx="151">
                  <c:v>2.7059196123981444E-2</c:v>
                </c:pt>
                <c:pt idx="152">
                  <c:v>-1.2147654351121973E-2</c:v>
                </c:pt>
                <c:pt idx="153">
                  <c:v>-1.3202081026284396E-2</c:v>
                </c:pt>
                <c:pt idx="154">
                  <c:v>1.6615429050424346E-2</c:v>
                </c:pt>
                <c:pt idx="155">
                  <c:v>-4.6378297368717902E-2</c:v>
                </c:pt>
                <c:pt idx="156">
                  <c:v>1.6025757541704433E-2</c:v>
                </c:pt>
                <c:pt idx="157">
                  <c:v>6.0791994321527376E-3</c:v>
                </c:pt>
                <c:pt idx="158">
                  <c:v>1.3445841264766001E-2</c:v>
                </c:pt>
                <c:pt idx="159">
                  <c:v>-1.2676586052281058E-2</c:v>
                </c:pt>
                <c:pt idx="160">
                  <c:v>-1.4144769208909169E-3</c:v>
                </c:pt>
                <c:pt idx="161">
                  <c:v>-8.2266955887764226E-3</c:v>
                </c:pt>
                <c:pt idx="162">
                  <c:v>-2.3566211629111655E-2</c:v>
                </c:pt>
                <c:pt idx="163">
                  <c:v>1.4683549929676465E-2</c:v>
                </c:pt>
                <c:pt idx="164">
                  <c:v>5.2118096850086726E-3</c:v>
                </c:pt>
                <c:pt idx="165">
                  <c:v>2.5371869409180903E-3</c:v>
                </c:pt>
                <c:pt idx="166">
                  <c:v>2.0961774344238959E-2</c:v>
                </c:pt>
                <c:pt idx="167">
                  <c:v>5.388316873857768E-4</c:v>
                </c:pt>
                <c:pt idx="168">
                  <c:v>-1.7665745868107319E-2</c:v>
                </c:pt>
                <c:pt idx="169">
                  <c:v>2.6043094610686435E-2</c:v>
                </c:pt>
                <c:pt idx="170">
                  <c:v>2.0091883189547355E-2</c:v>
                </c:pt>
                <c:pt idx="171">
                  <c:v>-1.7862698308937608E-2</c:v>
                </c:pt>
                <c:pt idx="172">
                  <c:v>6.7736410802272662E-3</c:v>
                </c:pt>
                <c:pt idx="173">
                  <c:v>-1.3721111827747268E-2</c:v>
                </c:pt>
                <c:pt idx="174">
                  <c:v>1.2461766261607776E-2</c:v>
                </c:pt>
                <c:pt idx="175">
                  <c:v>-5.4114487396824673E-3</c:v>
                </c:pt>
                <c:pt idx="176">
                  <c:v>-1.4935669627483827E-3</c:v>
                </c:pt>
                <c:pt idx="177">
                  <c:v>-5.1819060293615271E-3</c:v>
                </c:pt>
                <c:pt idx="178">
                  <c:v>9.9881913328956351E-3</c:v>
                </c:pt>
                <c:pt idx="179">
                  <c:v>3.1899723182671202E-4</c:v>
                </c:pt>
                <c:pt idx="180">
                  <c:v>1.0630381687203094E-2</c:v>
                </c:pt>
                <c:pt idx="181">
                  <c:v>-1.1044809146127932E-3</c:v>
                </c:pt>
                <c:pt idx="182">
                  <c:v>-1.6374380638238595E-2</c:v>
                </c:pt>
                <c:pt idx="183">
                  <c:v>-2.9654254321915374E-2</c:v>
                </c:pt>
                <c:pt idx="184">
                  <c:v>8.3848411759974706E-3</c:v>
                </c:pt>
                <c:pt idx="185">
                  <c:v>-1.471554680444942E-2</c:v>
                </c:pt>
                <c:pt idx="186">
                  <c:v>-1.6711981474032633E-2</c:v>
                </c:pt>
                <c:pt idx="187">
                  <c:v>5.5335740643622788E-3</c:v>
                </c:pt>
                <c:pt idx="188">
                  <c:v>-1.2747102282714473E-2</c:v>
                </c:pt>
                <c:pt idx="189">
                  <c:v>-6.882384470535019E-3</c:v>
                </c:pt>
                <c:pt idx="190">
                  <c:v>2.7376854729317834E-2</c:v>
                </c:pt>
                <c:pt idx="191">
                  <c:v>5.9649457585866372E-3</c:v>
                </c:pt>
                <c:pt idx="192">
                  <c:v>-4.2671322405175571E-3</c:v>
                </c:pt>
                <c:pt idx="193">
                  <c:v>-1.0741279358798761E-2</c:v>
                </c:pt>
                <c:pt idx="194">
                  <c:v>1.1814379746835524E-2</c:v>
                </c:pt>
                <c:pt idx="195">
                  <c:v>1.0007950736459215E-3</c:v>
                </c:pt>
                <c:pt idx="196">
                  <c:v>2.3107276693369316E-2</c:v>
                </c:pt>
                <c:pt idx="197">
                  <c:v>-4.940566752369091E-3</c:v>
                </c:pt>
                <c:pt idx="198">
                  <c:v>3.0608904575561313E-2</c:v>
                </c:pt>
                <c:pt idx="199">
                  <c:v>3.4941182883907462E-3</c:v>
                </c:pt>
                <c:pt idx="200">
                  <c:v>4.4315272313659726E-3</c:v>
                </c:pt>
                <c:pt idx="201">
                  <c:v>-2.3845753578684459E-2</c:v>
                </c:pt>
                <c:pt idx="202">
                  <c:v>2.1038412019206421E-2</c:v>
                </c:pt>
                <c:pt idx="203">
                  <c:v>-3.9102019369256391E-2</c:v>
                </c:pt>
                <c:pt idx="204">
                  <c:v>2.0895020750137494E-2</c:v>
                </c:pt>
                <c:pt idx="205">
                  <c:v>1.235621850194768E-3</c:v>
                </c:pt>
                <c:pt idx="206">
                  <c:v>8.1016952435428724E-3</c:v>
                </c:pt>
                <c:pt idx="207">
                  <c:v>8.0365906010781973E-3</c:v>
                </c:pt>
                <c:pt idx="208">
                  <c:v>-4.7516368981503909E-4</c:v>
                </c:pt>
                <c:pt idx="209">
                  <c:v>-5.5992710960781622E-3</c:v>
                </c:pt>
                <c:pt idx="210">
                  <c:v>1.8061057104913569E-2</c:v>
                </c:pt>
                <c:pt idx="211">
                  <c:v>1.0279160248760633E-2</c:v>
                </c:pt>
                <c:pt idx="212">
                  <c:v>5.6812624130064826E-3</c:v>
                </c:pt>
                <c:pt idx="213">
                  <c:v>-2.0542008933124301E-3</c:v>
                </c:pt>
                <c:pt idx="214">
                  <c:v>-1.425485745273769E-2</c:v>
                </c:pt>
                <c:pt idx="215">
                  <c:v>-5.8992690279415783E-3</c:v>
                </c:pt>
                <c:pt idx="216">
                  <c:v>2.2056401870145237E-3</c:v>
                </c:pt>
                <c:pt idx="217">
                  <c:v>-6.4451636228288756E-3</c:v>
                </c:pt>
                <c:pt idx="218">
                  <c:v>2.5631559381722679E-2</c:v>
                </c:pt>
                <c:pt idx="219">
                  <c:v>-6.5819869050136592E-3</c:v>
                </c:pt>
                <c:pt idx="220">
                  <c:v>-2.0709146221764563E-4</c:v>
                </c:pt>
                <c:pt idx="221">
                  <c:v>1.0095842922987597E-2</c:v>
                </c:pt>
                <c:pt idx="222">
                  <c:v>1.1788764373487526E-2</c:v>
                </c:pt>
                <c:pt idx="223">
                  <c:v>9.7265099207652916E-3</c:v>
                </c:pt>
                <c:pt idx="224">
                  <c:v>-9.0809348606936124E-3</c:v>
                </c:pt>
                <c:pt idx="225">
                  <c:v>2.1264645366427803E-3</c:v>
                </c:pt>
                <c:pt idx="226">
                  <c:v>4.4966100716226087E-3</c:v>
                </c:pt>
                <c:pt idx="227">
                  <c:v>4.8787142432804576E-3</c:v>
                </c:pt>
                <c:pt idx="228">
                  <c:v>-4.104269626757584E-3</c:v>
                </c:pt>
                <c:pt idx="229">
                  <c:v>1.5228421293519645E-2</c:v>
                </c:pt>
                <c:pt idx="230">
                  <c:v>-1.7821831683169087E-3</c:v>
                </c:pt>
                <c:pt idx="231">
                  <c:v>-9.6211168896107591E-3</c:v>
                </c:pt>
                <c:pt idx="232">
                  <c:v>-4.4065599059572857E-3</c:v>
                </c:pt>
                <c:pt idx="233">
                  <c:v>-5.5326423964974225E-4</c:v>
                </c:pt>
                <c:pt idx="234">
                  <c:v>3.2710682758922971E-3</c:v>
                </c:pt>
                <c:pt idx="235">
                  <c:v>8.4771367953593302E-3</c:v>
                </c:pt>
                <c:pt idx="236">
                  <c:v>1.4423924181687919E-3</c:v>
                </c:pt>
                <c:pt idx="237">
                  <c:v>-2.3343648025105912E-3</c:v>
                </c:pt>
                <c:pt idx="238">
                  <c:v>6.9198986140264207E-3</c:v>
                </c:pt>
                <c:pt idx="239">
                  <c:v>-2.7242139504650931E-2</c:v>
                </c:pt>
                <c:pt idx="240">
                  <c:v>-1.3418038119440867E-2</c:v>
                </c:pt>
                <c:pt idx="241">
                  <c:v>1.9628030397052854E-2</c:v>
                </c:pt>
                <c:pt idx="242">
                  <c:v>2.3747019237541078E-3</c:v>
                </c:pt>
                <c:pt idx="243">
                  <c:v>2.071677514348913E-2</c:v>
                </c:pt>
                <c:pt idx="244">
                  <c:v>1.7580237037037039E-2</c:v>
                </c:pt>
                <c:pt idx="245">
                  <c:v>1.164733584050559E-3</c:v>
                </c:pt>
                <c:pt idx="246">
                  <c:v>-5.8172563380920472E-4</c:v>
                </c:pt>
                <c:pt idx="247">
                  <c:v>-5.1411292850320756E-3</c:v>
                </c:pt>
                <c:pt idx="248">
                  <c:v>1.301676123773321E-2</c:v>
                </c:pt>
                <c:pt idx="249">
                  <c:v>1.4919534647657162E-3</c:v>
                </c:pt>
                <c:pt idx="250">
                  <c:v>-1.7731868782358551E-2</c:v>
                </c:pt>
                <c:pt idx="251">
                  <c:v>4.1093683457880115E-3</c:v>
                </c:pt>
                <c:pt idx="252">
                  <c:v>2.2070640682094966E-2</c:v>
                </c:pt>
                <c:pt idx="253">
                  <c:v>-5.2912622999869985E-3</c:v>
                </c:pt>
                <c:pt idx="254">
                  <c:v>1.8833603477582894E-2</c:v>
                </c:pt>
                <c:pt idx="255">
                  <c:v>2.1636499859740699E-3</c:v>
                </c:pt>
                <c:pt idx="256">
                  <c:v>1.0138003474495338E-2</c:v>
                </c:pt>
                <c:pt idx="257">
                  <c:v>1.4310946871522345E-2</c:v>
                </c:pt>
                <c:pt idx="258">
                  <c:v>-1.0994273783861974E-3</c:v>
                </c:pt>
                <c:pt idx="259">
                  <c:v>1.7655718771491413E-2</c:v>
                </c:pt>
                <c:pt idx="260">
                  <c:v>-1.2843071283978658E-2</c:v>
                </c:pt>
                <c:pt idx="261">
                  <c:v>9.540746914459497E-3</c:v>
                </c:pt>
                <c:pt idx="262">
                  <c:v>2.8035723121024869E-3</c:v>
                </c:pt>
                <c:pt idx="263">
                  <c:v>1.6683726082269423E-3</c:v>
                </c:pt>
                <c:pt idx="264">
                  <c:v>-3.1511524405831715E-3</c:v>
                </c:pt>
                <c:pt idx="265">
                  <c:v>-5.4188493007689686E-4</c:v>
                </c:pt>
                <c:pt idx="266">
                  <c:v>-7.0486713837850656E-3</c:v>
                </c:pt>
                <c:pt idx="267">
                  <c:v>-8.2817302575931562E-3</c:v>
                </c:pt>
                <c:pt idx="268">
                  <c:v>-1.4086477800436148E-2</c:v>
                </c:pt>
                <c:pt idx="269">
                  <c:v>1.358960333200554E-2</c:v>
                </c:pt>
                <c:pt idx="270">
                  <c:v>2.4978204577103646E-2</c:v>
                </c:pt>
                <c:pt idx="271">
                  <c:v>-6.1371667094416771E-2</c:v>
                </c:pt>
                <c:pt idx="272">
                  <c:v>-3.6367083646098863E-2</c:v>
                </c:pt>
                <c:pt idx="273">
                  <c:v>1.1292149744100977E-2</c:v>
                </c:pt>
                <c:pt idx="274">
                  <c:v>2.762133280159329E-2</c:v>
                </c:pt>
                <c:pt idx="275">
                  <c:v>1.334408794410713E-3</c:v>
                </c:pt>
                <c:pt idx="276">
                  <c:v>3.5219884654609235E-3</c:v>
                </c:pt>
                <c:pt idx="277">
                  <c:v>7.0191887971775557E-3</c:v>
                </c:pt>
                <c:pt idx="278">
                  <c:v>3.4380256823056676E-3</c:v>
                </c:pt>
                <c:pt idx="279">
                  <c:v>-2.7550906106739048E-2</c:v>
                </c:pt>
                <c:pt idx="280">
                  <c:v>1.7230527368786941E-2</c:v>
                </c:pt>
                <c:pt idx="281">
                  <c:v>1.1292484610279097E-2</c:v>
                </c:pt>
                <c:pt idx="282">
                  <c:v>4.8793938485474087E-3</c:v>
                </c:pt>
                <c:pt idx="283">
                  <c:v>1.6901718733364657E-2</c:v>
                </c:pt>
                <c:pt idx="284">
                  <c:v>-1.4233149482555385E-3</c:v>
                </c:pt>
                <c:pt idx="285">
                  <c:v>-1.3379938999955376E-2</c:v>
                </c:pt>
                <c:pt idx="286">
                  <c:v>-2.0505214647169256E-2</c:v>
                </c:pt>
                <c:pt idx="287">
                  <c:v>-4.5009003306989315E-2</c:v>
                </c:pt>
                <c:pt idx="288">
                  <c:v>-1.9679139997612838E-2</c:v>
                </c:pt>
                <c:pt idx="289">
                  <c:v>2.185256854494888E-3</c:v>
                </c:pt>
                <c:pt idx="290">
                  <c:v>-3.7778890027062251E-2</c:v>
                </c:pt>
                <c:pt idx="291">
                  <c:v>1.4334656126482104E-2</c:v>
                </c:pt>
                <c:pt idx="292">
                  <c:v>2.0626596245510553E-2</c:v>
                </c:pt>
                <c:pt idx="293">
                  <c:v>-5.3705980923376306E-2</c:v>
                </c:pt>
                <c:pt idx="294">
                  <c:v>3.157779348850287E-2</c:v>
                </c:pt>
                <c:pt idx="295">
                  <c:v>-3.4365859260686804E-2</c:v>
                </c:pt>
                <c:pt idx="296">
                  <c:v>-2.2033817811025647E-2</c:v>
                </c:pt>
                <c:pt idx="297">
                  <c:v>-6.4001304633084288E-2</c:v>
                </c:pt>
                <c:pt idx="298">
                  <c:v>5.1268448377581155E-2</c:v>
                </c:pt>
                <c:pt idx="299">
                  <c:v>-4.4615280940397573E-2</c:v>
                </c:pt>
                <c:pt idx="300">
                  <c:v>-9.2633949346982214E-2</c:v>
                </c:pt>
                <c:pt idx="301">
                  <c:v>0.10234995725804397</c:v>
                </c:pt>
                <c:pt idx="302">
                  <c:v>-0.14252997499723974</c:v>
                </c:pt>
                <c:pt idx="303">
                  <c:v>2.3354586102136254E-2</c:v>
                </c:pt>
                <c:pt idx="304">
                  <c:v>-1.6463599470801782E-2</c:v>
                </c:pt>
                <c:pt idx="305">
                  <c:v>4.1984197782462207E-2</c:v>
                </c:pt>
                <c:pt idx="306">
                  <c:v>-2.2203414673695132E-2</c:v>
                </c:pt>
                <c:pt idx="307">
                  <c:v>-1.0886195442094238E-2</c:v>
                </c:pt>
                <c:pt idx="308">
                  <c:v>8.6968193640721392E-2</c:v>
                </c:pt>
                <c:pt idx="309">
                  <c:v>-2.9630942468156118E-2</c:v>
                </c:pt>
                <c:pt idx="310">
                  <c:v>4.5643612319920202E-2</c:v>
                </c:pt>
                <c:pt idx="311">
                  <c:v>-4.0100423413748643E-2</c:v>
                </c:pt>
                <c:pt idx="312">
                  <c:v>5.8422121365870439E-2</c:v>
                </c:pt>
                <c:pt idx="313">
                  <c:v>5.1220609543005668E-3</c:v>
                </c:pt>
                <c:pt idx="314">
                  <c:v>-4.31654488639307E-2</c:v>
                </c:pt>
                <c:pt idx="315">
                  <c:v>-8.8346111966939311E-3</c:v>
                </c:pt>
                <c:pt idx="316">
                  <c:v>-2.5349320116956564E-2</c:v>
                </c:pt>
                <c:pt idx="317">
                  <c:v>7.3745041615094653E-2</c:v>
                </c:pt>
                <c:pt idx="318">
                  <c:v>1.981273899463476E-2</c:v>
                </c:pt>
                <c:pt idx="319">
                  <c:v>3.2280974562802989E-2</c:v>
                </c:pt>
                <c:pt idx="320">
                  <c:v>5.2214999152024877E-3</c:v>
                </c:pt>
                <c:pt idx="321">
                  <c:v>-2.2832866912119165E-3</c:v>
                </c:pt>
                <c:pt idx="322">
                  <c:v>1.9337520083315018E-2</c:v>
                </c:pt>
                <c:pt idx="323">
                  <c:v>-6.7351238338118069E-3</c:v>
                </c:pt>
                <c:pt idx="324">
                  <c:v>-4.0684918117844804E-3</c:v>
                </c:pt>
                <c:pt idx="325">
                  <c:v>1.6964567375886475E-2</c:v>
                </c:pt>
                <c:pt idx="326">
                  <c:v>-5.5791116497680981E-3</c:v>
                </c:pt>
                <c:pt idx="327">
                  <c:v>-4.1741482222242943E-2</c:v>
                </c:pt>
                <c:pt idx="328">
                  <c:v>6.7213090154336852E-2</c:v>
                </c:pt>
                <c:pt idx="329">
                  <c:v>1.5635319374782242E-2</c:v>
                </c:pt>
                <c:pt idx="330">
                  <c:v>2.6683961900179298E-2</c:v>
                </c:pt>
                <c:pt idx="331">
                  <c:v>-1.3521370575842684E-2</c:v>
                </c:pt>
                <c:pt idx="332">
                  <c:v>-2.4479978666666735E-2</c:v>
                </c:pt>
                <c:pt idx="333">
                  <c:v>6.1669661326998915E-2</c:v>
                </c:pt>
                <c:pt idx="334">
                  <c:v>5.4173772550864863E-2</c:v>
                </c:pt>
                <c:pt idx="335">
                  <c:v>-1.191931472114105E-2</c:v>
                </c:pt>
                <c:pt idx="336">
                  <c:v>1.4782176995457919E-2</c:v>
                </c:pt>
                <c:pt idx="337">
                  <c:v>8.8181430580274167E-3</c:v>
                </c:pt>
                <c:pt idx="338">
                  <c:v>6.7609694918298047E-3</c:v>
                </c:pt>
                <c:pt idx="339">
                  <c:v>1.3383191761964897E-2</c:v>
                </c:pt>
                <c:pt idx="340">
                  <c:v>5.1595712666754334E-3</c:v>
                </c:pt>
                <c:pt idx="341">
                  <c:v>3.9085800638027912E-3</c:v>
                </c:pt>
                <c:pt idx="342">
                  <c:v>-1.4447823910004431E-2</c:v>
                </c:pt>
                <c:pt idx="343">
                  <c:v>-2.3798190657833729E-2</c:v>
                </c:pt>
                <c:pt idx="344">
                  <c:v>8.3373571427394211E-3</c:v>
                </c:pt>
                <c:pt idx="345">
                  <c:v>1.9679933462404486E-2</c:v>
                </c:pt>
                <c:pt idx="346">
                  <c:v>1.0954082631020379E-2</c:v>
                </c:pt>
                <c:pt idx="347">
                  <c:v>1.7308518060804801E-2</c:v>
                </c:pt>
                <c:pt idx="348">
                  <c:v>6.0355937376523006E-2</c:v>
                </c:pt>
                <c:pt idx="349">
                  <c:v>6.1747097178992405E-3</c:v>
                </c:pt>
                <c:pt idx="350">
                  <c:v>1.52124336194841E-2</c:v>
                </c:pt>
                <c:pt idx="351">
                  <c:v>-1.1536362665933941E-2</c:v>
                </c:pt>
                <c:pt idx="352">
                  <c:v>-1.3178286130641093E-2</c:v>
                </c:pt>
                <c:pt idx="353">
                  <c:v>-1.6060015781007353E-2</c:v>
                </c:pt>
                <c:pt idx="354">
                  <c:v>-1.6411380666726538E-3</c:v>
                </c:pt>
                <c:pt idx="355">
                  <c:v>3.0299027594278272E-2</c:v>
                </c:pt>
                <c:pt idx="356">
                  <c:v>3.4927212540603048E-3</c:v>
                </c:pt>
                <c:pt idx="357">
                  <c:v>-1.1000330822446225E-2</c:v>
                </c:pt>
                <c:pt idx="358">
                  <c:v>-1.6814437490190404E-2</c:v>
                </c:pt>
                <c:pt idx="359">
                  <c:v>1.97976540659488E-2</c:v>
                </c:pt>
                <c:pt idx="360">
                  <c:v>2.7299475195223799E-3</c:v>
                </c:pt>
                <c:pt idx="361">
                  <c:v>3.1417477046261189E-2</c:v>
                </c:pt>
                <c:pt idx="362">
                  <c:v>-8.1283865431631686E-3</c:v>
                </c:pt>
                <c:pt idx="363">
                  <c:v>-5.195794030258849E-2</c:v>
                </c:pt>
                <c:pt idx="364">
                  <c:v>1.8491329721691985E-2</c:v>
                </c:pt>
                <c:pt idx="365">
                  <c:v>1.7149347999393161E-2</c:v>
                </c:pt>
                <c:pt idx="366">
                  <c:v>1.3548361290322442E-2</c:v>
                </c:pt>
                <c:pt idx="367">
                  <c:v>-5.0920858499992061E-4</c:v>
                </c:pt>
                <c:pt idx="368">
                  <c:v>1.7407676378413672E-3</c:v>
                </c:pt>
                <c:pt idx="369">
                  <c:v>1.2079303957961418E-2</c:v>
                </c:pt>
                <c:pt idx="370">
                  <c:v>1.8007789798795137E-3</c:v>
                </c:pt>
                <c:pt idx="371">
                  <c:v>1.262437917973247E-2</c:v>
                </c:pt>
                <c:pt idx="372">
                  <c:v>-3.3933292727598818E-2</c:v>
                </c:pt>
                <c:pt idx="373">
                  <c:v>7.0933636938148581E-3</c:v>
                </c:pt>
                <c:pt idx="374">
                  <c:v>-8.3163575959542713E-2</c:v>
                </c:pt>
                <c:pt idx="375">
                  <c:v>2.1103280996822571E-2</c:v>
                </c:pt>
                <c:pt idx="376">
                  <c:v>2.914253095151631E-2</c:v>
                </c:pt>
                <c:pt idx="377">
                  <c:v>4.6153149587915498E-2</c:v>
                </c:pt>
                <c:pt idx="378">
                  <c:v>-1.7385834341580808E-2</c:v>
                </c:pt>
                <c:pt idx="379">
                  <c:v>2.938908859042999E-2</c:v>
                </c:pt>
                <c:pt idx="380">
                  <c:v>2.4138588414095441E-3</c:v>
                </c:pt>
                <c:pt idx="381">
                  <c:v>1.1292871330678134E-2</c:v>
                </c:pt>
                <c:pt idx="382">
                  <c:v>3.776984943123507E-3</c:v>
                </c:pt>
                <c:pt idx="383">
                  <c:v>2.331316973415154E-3</c:v>
                </c:pt>
                <c:pt idx="384">
                  <c:v>-2.4768461364592875E-2</c:v>
                </c:pt>
                <c:pt idx="385">
                  <c:v>3.0543765690376201E-3</c:v>
                </c:pt>
                <c:pt idx="386">
                  <c:v>2.2942602476829776E-3</c:v>
                </c:pt>
                <c:pt idx="387">
                  <c:v>2.7051523335490657E-3</c:v>
                </c:pt>
                <c:pt idx="388">
                  <c:v>4.5656665087772108E-3</c:v>
                </c:pt>
                <c:pt idx="389">
                  <c:v>1.4006524042500912E-2</c:v>
                </c:pt>
                <c:pt idx="390">
                  <c:v>-1.4953948455333266E-2</c:v>
                </c:pt>
                <c:pt idx="391">
                  <c:v>-7.7766494312306866E-3</c:v>
                </c:pt>
                <c:pt idx="392">
                  <c:v>-3.0308038318840103E-2</c:v>
                </c:pt>
                <c:pt idx="393">
                  <c:v>-8.1255328944402905E-3</c:v>
                </c:pt>
                <c:pt idx="394">
                  <c:v>1.2093073188628622E-2</c:v>
                </c:pt>
                <c:pt idx="395">
                  <c:v>-1.4475396145610331E-2</c:v>
                </c:pt>
                <c:pt idx="396">
                  <c:v>1.377541312739905E-2</c:v>
                </c:pt>
                <c:pt idx="397">
                  <c:v>5.1867076870286688E-3</c:v>
                </c:pt>
                <c:pt idx="398">
                  <c:v>8.174839232409381E-2</c:v>
                </c:pt>
                <c:pt idx="399">
                  <c:v>-6.7410060846060382E-3</c:v>
                </c:pt>
                <c:pt idx="400">
                  <c:v>-8.4537424227011382E-3</c:v>
                </c:pt>
                <c:pt idx="401">
                  <c:v>-2.8419605104115231E-3</c:v>
                </c:pt>
                <c:pt idx="402">
                  <c:v>6.4868353903105858E-2</c:v>
                </c:pt>
                <c:pt idx="403">
                  <c:v>1.1911953452623525E-2</c:v>
                </c:pt>
                <c:pt idx="404">
                  <c:v>-2.0265243478876149E-2</c:v>
                </c:pt>
                <c:pt idx="405">
                  <c:v>-2.6121653992395522E-2</c:v>
                </c:pt>
                <c:pt idx="406">
                  <c:v>1.4680084045600283E-2</c:v>
                </c:pt>
                <c:pt idx="407">
                  <c:v>5.4252680696484923E-3</c:v>
                </c:pt>
                <c:pt idx="408">
                  <c:v>-2.2961348165084772E-4</c:v>
                </c:pt>
                <c:pt idx="409">
                  <c:v>-3.0617823863787752E-4</c:v>
                </c:pt>
                <c:pt idx="410">
                  <c:v>4.5182722542767007E-3</c:v>
                </c:pt>
                <c:pt idx="411">
                  <c:v>9.5296181982096329E-4</c:v>
                </c:pt>
                <c:pt idx="412">
                  <c:v>2.4448814112476791E-2</c:v>
                </c:pt>
                <c:pt idx="413">
                  <c:v>-7.4346675798421247E-3</c:v>
                </c:pt>
                <c:pt idx="414">
                  <c:v>1.640389811602927E-2</c:v>
                </c:pt>
                <c:pt idx="415">
                  <c:v>3.4747011602471733E-2</c:v>
                </c:pt>
                <c:pt idx="416">
                  <c:v>8.2223475622946074E-2</c:v>
                </c:pt>
                <c:pt idx="417">
                  <c:v>-3.5174896710540637E-2</c:v>
                </c:pt>
                <c:pt idx="418">
                  <c:v>1.5005899955644608E-3</c:v>
                </c:pt>
                <c:pt idx="419">
                  <c:v>-1.5664101128324281E-3</c:v>
                </c:pt>
                <c:pt idx="420">
                  <c:v>7.6398018701309134E-3</c:v>
                </c:pt>
                <c:pt idx="421">
                  <c:v>2.3896554130134362E-2</c:v>
                </c:pt>
                <c:pt idx="422">
                  <c:v>-3.7619851239669377E-2</c:v>
                </c:pt>
                <c:pt idx="423">
                  <c:v>-2.8819676230071423E-2</c:v>
                </c:pt>
                <c:pt idx="424">
                  <c:v>-4.0922457998277317E-2</c:v>
                </c:pt>
                <c:pt idx="425">
                  <c:v>9.4409092869021105E-3</c:v>
                </c:pt>
                <c:pt idx="426">
                  <c:v>-2.056848231562014E-2</c:v>
                </c:pt>
                <c:pt idx="427">
                  <c:v>-5.5205752623458393E-3</c:v>
                </c:pt>
                <c:pt idx="428">
                  <c:v>-1.7253329803083028E-3</c:v>
                </c:pt>
                <c:pt idx="429">
                  <c:v>2.3558215823217266E-2</c:v>
                </c:pt>
                <c:pt idx="430">
                  <c:v>-3.2670228233195098E-2</c:v>
                </c:pt>
                <c:pt idx="431">
                  <c:v>-3.3014505021097262E-2</c:v>
                </c:pt>
                <c:pt idx="432">
                  <c:v>-8.986766882868813E-3</c:v>
                </c:pt>
                <c:pt idx="433">
                  <c:v>-1.7344493792200932E-2</c:v>
                </c:pt>
                <c:pt idx="434">
                  <c:v>2.6596841263675453E-2</c:v>
                </c:pt>
                <c:pt idx="435">
                  <c:v>-2.2492624141315032E-2</c:v>
                </c:pt>
                <c:pt idx="436">
                  <c:v>2.0480081592160193E-3</c:v>
                </c:pt>
                <c:pt idx="437">
                  <c:v>2.1199887874002732E-2</c:v>
                </c:pt>
                <c:pt idx="438">
                  <c:v>7.8486772822354833E-3</c:v>
                </c:pt>
                <c:pt idx="439">
                  <c:v>1.9352082643623758E-2</c:v>
                </c:pt>
                <c:pt idx="440">
                  <c:v>4.2012680476277708E-4</c:v>
                </c:pt>
                <c:pt idx="441">
                  <c:v>1.806037078412448E-2</c:v>
                </c:pt>
                <c:pt idx="442">
                  <c:v>-2.5090960786652627E-2</c:v>
                </c:pt>
                <c:pt idx="443">
                  <c:v>1.8119535137958387E-2</c:v>
                </c:pt>
                <c:pt idx="444">
                  <c:v>-2.2633629834882929E-2</c:v>
                </c:pt>
                <c:pt idx="445">
                  <c:v>-2.0877174346598526E-3</c:v>
                </c:pt>
                <c:pt idx="446">
                  <c:v>2.1850360720795825E-2</c:v>
                </c:pt>
                <c:pt idx="447">
                  <c:v>2.6160220421587166E-3</c:v>
                </c:pt>
                <c:pt idx="448">
                  <c:v>4.273014742763559E-2</c:v>
                </c:pt>
                <c:pt idx="449">
                  <c:v>1.4143789664551321E-3</c:v>
                </c:pt>
                <c:pt idx="450">
                  <c:v>-1.5644266550793207E-2</c:v>
                </c:pt>
                <c:pt idx="451">
                  <c:v>-1.8762437895161854E-2</c:v>
                </c:pt>
                <c:pt idx="452">
                  <c:v>-2.9619376013724219E-3</c:v>
                </c:pt>
                <c:pt idx="453">
                  <c:v>-1.7034554654389966E-2</c:v>
                </c:pt>
                <c:pt idx="454">
                  <c:v>2.3565432828586808E-2</c:v>
                </c:pt>
                <c:pt idx="455">
                  <c:v>4.1747694287245452E-2</c:v>
                </c:pt>
                <c:pt idx="456">
                  <c:v>-2.1885551462916819E-3</c:v>
                </c:pt>
                <c:pt idx="457">
                  <c:v>2.3982504386281134E-2</c:v>
                </c:pt>
                <c:pt idx="458">
                  <c:v>-2.6967322438618324E-2</c:v>
                </c:pt>
                <c:pt idx="459">
                  <c:v>2.2301700893239129E-2</c:v>
                </c:pt>
                <c:pt idx="460">
                  <c:v>-5.5137828740017492E-2</c:v>
                </c:pt>
                <c:pt idx="461">
                  <c:v>4.9164917102611838E-2</c:v>
                </c:pt>
                <c:pt idx="462">
                  <c:v>-6.309868183699352E-2</c:v>
                </c:pt>
                <c:pt idx="463">
                  <c:v>-6.651210899502713E-3</c:v>
                </c:pt>
                <c:pt idx="464">
                  <c:v>1.5075004691326388E-2</c:v>
                </c:pt>
                <c:pt idx="465">
                  <c:v>8.3226603839876567E-2</c:v>
                </c:pt>
                <c:pt idx="466">
                  <c:v>2.5401864684357678E-2</c:v>
                </c:pt>
                <c:pt idx="467">
                  <c:v>-4.309722513126335E-3</c:v>
                </c:pt>
                <c:pt idx="468">
                  <c:v>-4.9896100338828298E-2</c:v>
                </c:pt>
                <c:pt idx="469">
                  <c:v>-2.2742749399756845E-2</c:v>
                </c:pt>
                <c:pt idx="470">
                  <c:v>1.4866270616539445E-2</c:v>
                </c:pt>
                <c:pt idx="471">
                  <c:v>-5.0637440114973398E-3</c:v>
                </c:pt>
                <c:pt idx="472">
                  <c:v>6.7981135974097828E-3</c:v>
                </c:pt>
                <c:pt idx="473">
                  <c:v>7.2575515902124632E-3</c:v>
                </c:pt>
                <c:pt idx="474">
                  <c:v>-1.4195551791511218E-2</c:v>
                </c:pt>
                <c:pt idx="475">
                  <c:v>-1.101817818181805E-2</c:v>
                </c:pt>
                <c:pt idx="476">
                  <c:v>3.5665735060241843E-3</c:v>
                </c:pt>
                <c:pt idx="477">
                  <c:v>-1.1870704097085683E-2</c:v>
                </c:pt>
                <c:pt idx="478">
                  <c:v>-4.7090060937780009E-3</c:v>
                </c:pt>
                <c:pt idx="479">
                  <c:v>3.1628432818235686E-2</c:v>
                </c:pt>
                <c:pt idx="480">
                  <c:v>-4.8028923066676388E-3</c:v>
                </c:pt>
                <c:pt idx="481">
                  <c:v>8.0554520563946852E-3</c:v>
                </c:pt>
                <c:pt idx="482">
                  <c:v>-3.0236384797064364E-3</c:v>
                </c:pt>
                <c:pt idx="483">
                  <c:v>3.4588536539738701E-2</c:v>
                </c:pt>
                <c:pt idx="484">
                  <c:v>3.385102218186109E-3</c:v>
                </c:pt>
                <c:pt idx="485">
                  <c:v>-1.9720308906939987E-2</c:v>
                </c:pt>
                <c:pt idx="486">
                  <c:v>-7.6281495626435714E-3</c:v>
                </c:pt>
                <c:pt idx="487">
                  <c:v>2.1022433849591682E-2</c:v>
                </c:pt>
                <c:pt idx="488">
                  <c:v>-7.6335636222296666E-3</c:v>
                </c:pt>
                <c:pt idx="489">
                  <c:v>-1.9336560042411355E-2</c:v>
                </c:pt>
                <c:pt idx="490">
                  <c:v>-2.8785908267785487E-3</c:v>
                </c:pt>
                <c:pt idx="491">
                  <c:v>-1.2882531265923425E-2</c:v>
                </c:pt>
                <c:pt idx="492">
                  <c:v>2.3396601282248408E-3</c:v>
                </c:pt>
                <c:pt idx="493">
                  <c:v>4.9600130934022157E-3</c:v>
                </c:pt>
                <c:pt idx="494">
                  <c:v>4.3558339766658349E-4</c:v>
                </c:pt>
                <c:pt idx="495">
                  <c:v>-4.3167625925275566E-3</c:v>
                </c:pt>
                <c:pt idx="496">
                  <c:v>6.9949829607081071E-3</c:v>
                </c:pt>
                <c:pt idx="497">
                  <c:v>-1.3060727490464386E-2</c:v>
                </c:pt>
                <c:pt idx="498">
                  <c:v>-2.0895241071677284E-2</c:v>
                </c:pt>
                <c:pt idx="499">
                  <c:v>3.8188963093923611E-3</c:v>
                </c:pt>
                <c:pt idx="500">
                  <c:v>-2.6481333770541626E-3</c:v>
                </c:pt>
                <c:pt idx="501">
                  <c:v>3.5901294747224366E-2</c:v>
                </c:pt>
                <c:pt idx="502">
                  <c:v>-7.9422743682322494E-4</c:v>
                </c:pt>
                <c:pt idx="503">
                  <c:v>-1.7739735594117012E-2</c:v>
                </c:pt>
                <c:pt idx="504">
                  <c:v>4.7449480403307653E-3</c:v>
                </c:pt>
                <c:pt idx="505">
                  <c:v>-1.5448828299182593E-2</c:v>
                </c:pt>
                <c:pt idx="506">
                  <c:v>7.5481482297306002E-3</c:v>
                </c:pt>
                <c:pt idx="507">
                  <c:v>-2.8268823012625677E-2</c:v>
                </c:pt>
                <c:pt idx="508">
                  <c:v>2.0622050211705156E-2</c:v>
                </c:pt>
                <c:pt idx="509">
                  <c:v>-4.353587272218018E-3</c:v>
                </c:pt>
                <c:pt idx="510">
                  <c:v>-4.0101695703136042E-2</c:v>
                </c:pt>
                <c:pt idx="511">
                  <c:v>-2.2387478934550287E-2</c:v>
                </c:pt>
                <c:pt idx="512">
                  <c:v>2.190461622373796E-3</c:v>
                </c:pt>
                <c:pt idx="513">
                  <c:v>-2.3843586170098519E-2</c:v>
                </c:pt>
                <c:pt idx="514">
                  <c:v>2.3286117990905852E-2</c:v>
                </c:pt>
                <c:pt idx="515">
                  <c:v>3.874922406608361E-2</c:v>
                </c:pt>
                <c:pt idx="516">
                  <c:v>2.4435100932169274E-2</c:v>
                </c:pt>
                <c:pt idx="517">
                  <c:v>2.0150978683786791E-2</c:v>
                </c:pt>
                <c:pt idx="518">
                  <c:v>5.9735589469995798E-3</c:v>
                </c:pt>
                <c:pt idx="519">
                  <c:v>1.278692167577411E-2</c:v>
                </c:pt>
                <c:pt idx="520">
                  <c:v>1.4531771715701858E-2</c:v>
                </c:pt>
                <c:pt idx="521">
                  <c:v>-3.5135520019947575E-2</c:v>
                </c:pt>
                <c:pt idx="522">
                  <c:v>-2.6236549593781744E-2</c:v>
                </c:pt>
                <c:pt idx="523">
                  <c:v>-2.5169860377358466E-2</c:v>
                </c:pt>
                <c:pt idx="524">
                  <c:v>1.4245434851510419E-2</c:v>
                </c:pt>
                <c:pt idx="525">
                  <c:v>1.935031795159281E-2</c:v>
                </c:pt>
                <c:pt idx="526">
                  <c:v>-1.609978362025366E-3</c:v>
                </c:pt>
                <c:pt idx="527">
                  <c:v>-6.0005251678352245E-4</c:v>
                </c:pt>
                <c:pt idx="528">
                  <c:v>6.041562761888386E-3</c:v>
                </c:pt>
                <c:pt idx="529">
                  <c:v>-5.6695970383529026E-3</c:v>
                </c:pt>
                <c:pt idx="530">
                  <c:v>1.0766093255154985E-2</c:v>
                </c:pt>
                <c:pt idx="531">
                  <c:v>8.9811946269275911E-3</c:v>
                </c:pt>
                <c:pt idx="532">
                  <c:v>-5.4437048119267972E-3</c:v>
                </c:pt>
                <c:pt idx="533">
                  <c:v>4.0676428084807092E-4</c:v>
                </c:pt>
                <c:pt idx="534">
                  <c:v>1.2828099815157312E-2</c:v>
                </c:pt>
                <c:pt idx="535">
                  <c:v>-1.4599919645948978E-3</c:v>
                </c:pt>
                <c:pt idx="536">
                  <c:v>-1.5279423522476909E-2</c:v>
                </c:pt>
                <c:pt idx="537">
                  <c:v>-2.9065728364134014E-2</c:v>
                </c:pt>
                <c:pt idx="538">
                  <c:v>-4.7025959986434218E-3</c:v>
                </c:pt>
                <c:pt idx="539">
                  <c:v>2.1242262805475365E-2</c:v>
                </c:pt>
                <c:pt idx="540">
                  <c:v>-5.8300875929109264E-3</c:v>
                </c:pt>
                <c:pt idx="541">
                  <c:v>-3.6396640584137163E-2</c:v>
                </c:pt>
                <c:pt idx="542">
                  <c:v>1.1504153979314813E-2</c:v>
                </c:pt>
                <c:pt idx="543">
                  <c:v>2.8297527915098319E-2</c:v>
                </c:pt>
                <c:pt idx="544">
                  <c:v>-2.2309478354014978E-2</c:v>
                </c:pt>
                <c:pt idx="545">
                  <c:v>-1.3860988416988462E-2</c:v>
                </c:pt>
                <c:pt idx="546">
                  <c:v>8.7311027958012488E-3</c:v>
                </c:pt>
                <c:pt idx="547">
                  <c:v>2.5772331988103581E-2</c:v>
                </c:pt>
                <c:pt idx="548">
                  <c:v>-3.3941278318227797E-2</c:v>
                </c:pt>
                <c:pt idx="549">
                  <c:v>4.0852266192881181E-2</c:v>
                </c:pt>
                <c:pt idx="550">
                  <c:v>-3.1609694875053274E-3</c:v>
                </c:pt>
                <c:pt idx="551">
                  <c:v>3.3899627041894087E-2</c:v>
                </c:pt>
                <c:pt idx="552">
                  <c:v>-2.0008802760172251E-2</c:v>
                </c:pt>
                <c:pt idx="553">
                  <c:v>1.9932958716832205E-2</c:v>
                </c:pt>
                <c:pt idx="554">
                  <c:v>2.0200909589040972E-2</c:v>
                </c:pt>
                <c:pt idx="555">
                  <c:v>1.6936447353682604E-2</c:v>
                </c:pt>
                <c:pt idx="556">
                  <c:v>-1.8978257139598775E-2</c:v>
                </c:pt>
                <c:pt idx="557">
                  <c:v>4.1238928311659651E-2</c:v>
                </c:pt>
                <c:pt idx="558">
                  <c:v>1.1823184920711993E-2</c:v>
                </c:pt>
                <c:pt idx="559">
                  <c:v>-9.9134833780019083E-3</c:v>
                </c:pt>
                <c:pt idx="560">
                  <c:v>-2.9212365736290602E-2</c:v>
                </c:pt>
                <c:pt idx="561">
                  <c:v>-1.2050842912161963E-2</c:v>
                </c:pt>
                <c:pt idx="562">
                  <c:v>1.5354807898213751E-2</c:v>
                </c:pt>
                <c:pt idx="563">
                  <c:v>2.7559954431345624E-2</c:v>
                </c:pt>
                <c:pt idx="564">
                  <c:v>-9.6967434568556721E-3</c:v>
                </c:pt>
                <c:pt idx="565">
                  <c:v>2.2673607638888704E-2</c:v>
                </c:pt>
                <c:pt idx="566">
                  <c:v>1.4022357702177635E-2</c:v>
                </c:pt>
                <c:pt idx="567">
                  <c:v>3.4319962039510266E-2</c:v>
                </c:pt>
                <c:pt idx="568">
                  <c:v>-8.5785308526298287E-3</c:v>
                </c:pt>
                <c:pt idx="569">
                  <c:v>2.2301266169226563E-2</c:v>
                </c:pt>
                <c:pt idx="570">
                  <c:v>-2.2360024559830993E-4</c:v>
                </c:pt>
                <c:pt idx="571">
                  <c:v>-1.7890167391194645E-3</c:v>
                </c:pt>
                <c:pt idx="572">
                  <c:v>-2.9443193576741411E-3</c:v>
                </c:pt>
                <c:pt idx="573">
                  <c:v>-5.7135486569237504E-3</c:v>
                </c:pt>
                <c:pt idx="574">
                  <c:v>-2.2404451110393686E-2</c:v>
                </c:pt>
                <c:pt idx="575">
                  <c:v>1.651145857083347E-2</c:v>
                </c:pt>
                <c:pt idx="576">
                  <c:v>-5.3278343275456885E-3</c:v>
                </c:pt>
                <c:pt idx="577">
                  <c:v>-1.2868257528505622E-2</c:v>
                </c:pt>
                <c:pt idx="578">
                  <c:v>1.3565511301136812E-3</c:v>
                </c:pt>
                <c:pt idx="579">
                  <c:v>-3.8988700591217063E-3</c:v>
                </c:pt>
                <c:pt idx="580">
                  <c:v>-1.6419583983747765E-2</c:v>
                </c:pt>
                <c:pt idx="581">
                  <c:v>1.5547066541945487E-2</c:v>
                </c:pt>
                <c:pt idx="582">
                  <c:v>6.3427887234286384E-3</c:v>
                </c:pt>
                <c:pt idx="583">
                  <c:v>1.7489373820602783E-3</c:v>
                </c:pt>
                <c:pt idx="584">
                  <c:v>1.1628286453213565E-2</c:v>
                </c:pt>
                <c:pt idx="585">
                  <c:v>7.2972984572328592E-2</c:v>
                </c:pt>
                <c:pt idx="586">
                  <c:v>-1.3444274424318725E-2</c:v>
                </c:pt>
                <c:pt idx="587">
                  <c:v>-7.6904149746997996E-3</c:v>
                </c:pt>
                <c:pt idx="588">
                  <c:v>-1.3082032891271744E-2</c:v>
                </c:pt>
                <c:pt idx="589">
                  <c:v>-1.0491255677122835E-2</c:v>
                </c:pt>
                <c:pt idx="590">
                  <c:v>1.5872008680693606E-2</c:v>
                </c:pt>
                <c:pt idx="591">
                  <c:v>-2.9373227682973901E-3</c:v>
                </c:pt>
                <c:pt idx="592">
                  <c:v>-4.1086832562770459E-2</c:v>
                </c:pt>
                <c:pt idx="593">
                  <c:v>1.8302382526709238E-3</c:v>
                </c:pt>
                <c:pt idx="594">
                  <c:v>-1.2984083166359128E-2</c:v>
                </c:pt>
                <c:pt idx="595">
                  <c:v>8.9572702280193983E-3</c:v>
                </c:pt>
                <c:pt idx="596">
                  <c:v>3.4986541473283506E-2</c:v>
                </c:pt>
                <c:pt idx="597">
                  <c:v>-1.5193106189825833E-3</c:v>
                </c:pt>
                <c:pt idx="598">
                  <c:v>-1.7434857531584691E-2</c:v>
                </c:pt>
                <c:pt idx="599">
                  <c:v>1.1711205011617043E-2</c:v>
                </c:pt>
                <c:pt idx="600">
                  <c:v>1.6008128652165388E-2</c:v>
                </c:pt>
                <c:pt idx="601">
                  <c:v>-7.4698663320297287E-3</c:v>
                </c:pt>
                <c:pt idx="602">
                  <c:v>2.6562924794636178E-2</c:v>
                </c:pt>
                <c:pt idx="603">
                  <c:v>9.7341710603737752E-3</c:v>
                </c:pt>
                <c:pt idx="604">
                  <c:v>-3.9661062396800784E-4</c:v>
                </c:pt>
                <c:pt idx="605">
                  <c:v>1.5534383012459463E-2</c:v>
                </c:pt>
                <c:pt idx="606">
                  <c:v>-1.2081108940646179E-2</c:v>
                </c:pt>
                <c:pt idx="607">
                  <c:v>1.2167857713483166E-3</c:v>
                </c:pt>
                <c:pt idx="608">
                  <c:v>6.0732840204025251E-5</c:v>
                </c:pt>
                <c:pt idx="609">
                  <c:v>-9.4485342752277379E-3</c:v>
                </c:pt>
                <c:pt idx="610">
                  <c:v>1.3219227337219142E-2</c:v>
                </c:pt>
                <c:pt idx="611">
                  <c:v>1.8858728278636772E-2</c:v>
                </c:pt>
                <c:pt idx="612">
                  <c:v>-8.616061893186755E-3</c:v>
                </c:pt>
                <c:pt idx="613">
                  <c:v>-1.027928875555939E-2</c:v>
                </c:pt>
                <c:pt idx="614">
                  <c:v>6.6918728236184943E-3</c:v>
                </c:pt>
                <c:pt idx="615">
                  <c:v>-3.6093997247325094E-3</c:v>
                </c:pt>
                <c:pt idx="616">
                  <c:v>1.6633396225520736E-2</c:v>
                </c:pt>
                <c:pt idx="617">
                  <c:v>-5.9355051378995327E-5</c:v>
                </c:pt>
                <c:pt idx="618">
                  <c:v>-1.6837455085374819E-2</c:v>
                </c:pt>
                <c:pt idx="619">
                  <c:v>1.6400939993996166E-2</c:v>
                </c:pt>
                <c:pt idx="620">
                  <c:v>-2.035602447606244E-2</c:v>
                </c:pt>
                <c:pt idx="621">
                  <c:v>7.9779317117281145E-3</c:v>
                </c:pt>
                <c:pt idx="622">
                  <c:v>2.028345667172915E-2</c:v>
                </c:pt>
                <c:pt idx="623">
                  <c:v>4.6013538760620865E-3</c:v>
                </c:pt>
                <c:pt idx="624">
                  <c:v>7.6044423806271855E-3</c:v>
                </c:pt>
                <c:pt idx="625">
                  <c:v>-5.2741944079472969E-3</c:v>
                </c:pt>
                <c:pt idx="626">
                  <c:v>4.1802209359378395E-2</c:v>
                </c:pt>
                <c:pt idx="627">
                  <c:v>-1.0544370267220882E-2</c:v>
                </c:pt>
                <c:pt idx="628">
                  <c:v>-1.187877979430596E-2</c:v>
                </c:pt>
                <c:pt idx="629">
                  <c:v>1.9211481328990532E-2</c:v>
                </c:pt>
                <c:pt idx="630">
                  <c:v>8.7473401303372889E-4</c:v>
                </c:pt>
                <c:pt idx="631">
                  <c:v>-5.4130615591860831E-3</c:v>
                </c:pt>
                <c:pt idx="632">
                  <c:v>-6.4913232226637696E-3</c:v>
                </c:pt>
                <c:pt idx="633">
                  <c:v>-1.3809227476082819E-2</c:v>
                </c:pt>
                <c:pt idx="634">
                  <c:v>1.3800142001449078E-2</c:v>
                </c:pt>
                <c:pt idx="635">
                  <c:v>7.8191624289449813E-3</c:v>
                </c:pt>
                <c:pt idx="636">
                  <c:v>-3.0298108162895021E-3</c:v>
                </c:pt>
                <c:pt idx="637">
                  <c:v>-1.2667190350957869E-2</c:v>
                </c:pt>
                <c:pt idx="638">
                  <c:v>-9.1189309162192922E-3</c:v>
                </c:pt>
                <c:pt idx="639">
                  <c:v>-9.5801750166102373E-3</c:v>
                </c:pt>
                <c:pt idx="640">
                  <c:v>-1.2340227314571184E-2</c:v>
                </c:pt>
                <c:pt idx="641">
                  <c:v>1.3978310824336759E-2</c:v>
                </c:pt>
                <c:pt idx="642">
                  <c:v>1.3375891080303237E-2</c:v>
                </c:pt>
                <c:pt idx="643">
                  <c:v>1.4325710777278733E-2</c:v>
                </c:pt>
                <c:pt idx="644">
                  <c:v>5.2962803308962192E-2</c:v>
                </c:pt>
                <c:pt idx="645">
                  <c:v>7.2202653803985495E-3</c:v>
                </c:pt>
                <c:pt idx="646">
                  <c:v>-1.2484543608336174E-2</c:v>
                </c:pt>
                <c:pt idx="647">
                  <c:v>1.4871811613995201E-2</c:v>
                </c:pt>
                <c:pt idx="648">
                  <c:v>-4.0077132554857342E-2</c:v>
                </c:pt>
                <c:pt idx="649">
                  <c:v>-5.6374719818533814E-3</c:v>
                </c:pt>
                <c:pt idx="650">
                  <c:v>-1.2208745850420755E-2</c:v>
                </c:pt>
                <c:pt idx="651">
                  <c:v>-2.0173944474820571E-3</c:v>
                </c:pt>
                <c:pt idx="652">
                  <c:v>2.1865457290327406E-2</c:v>
                </c:pt>
                <c:pt idx="653">
                  <c:v>1.1283817712332667E-2</c:v>
                </c:pt>
                <c:pt idx="654">
                  <c:v>1.487751049707331E-3</c:v>
                </c:pt>
                <c:pt idx="655">
                  <c:v>-5.2268849487804303E-3</c:v>
                </c:pt>
                <c:pt idx="656">
                  <c:v>-1.3273416661877535E-3</c:v>
                </c:pt>
                <c:pt idx="657">
                  <c:v>-3.2398692542868757E-3</c:v>
                </c:pt>
                <c:pt idx="658">
                  <c:v>7.4730610825022303E-3</c:v>
                </c:pt>
                <c:pt idx="659">
                  <c:v>1.4614614884014276E-3</c:v>
                </c:pt>
                <c:pt idx="660">
                  <c:v>9.3066938299104507E-3</c:v>
                </c:pt>
                <c:pt idx="661">
                  <c:v>-2.2124579998497262E-2</c:v>
                </c:pt>
                <c:pt idx="662">
                  <c:v>-8.3693678325221788E-3</c:v>
                </c:pt>
                <c:pt idx="663">
                  <c:v>-9.2844841428785241E-4</c:v>
                </c:pt>
                <c:pt idx="664">
                  <c:v>1.1967785705786493E-2</c:v>
                </c:pt>
                <c:pt idx="665">
                  <c:v>1.1074967457981533E-2</c:v>
                </c:pt>
                <c:pt idx="666">
                  <c:v>5.9446923471360158E-3</c:v>
                </c:pt>
                <c:pt idx="667">
                  <c:v>7.8794148483101178E-3</c:v>
                </c:pt>
                <c:pt idx="668">
                  <c:v>-1.0885229883334402E-2</c:v>
                </c:pt>
                <c:pt idx="669">
                  <c:v>2.2641198437878041E-2</c:v>
                </c:pt>
                <c:pt idx="670">
                  <c:v>2.1549523367019319E-2</c:v>
                </c:pt>
                <c:pt idx="671">
                  <c:v>-3.3625781183989067E-3</c:v>
                </c:pt>
                <c:pt idx="672">
                  <c:v>7.0377536106573935E-3</c:v>
                </c:pt>
                <c:pt idx="673">
                  <c:v>-1.7720165456463821E-2</c:v>
                </c:pt>
                <c:pt idx="674">
                  <c:v>2.6114128187260111E-3</c:v>
                </c:pt>
                <c:pt idx="675">
                  <c:v>1.5733755495302315E-2</c:v>
                </c:pt>
                <c:pt idx="676">
                  <c:v>-1.2062342572705109E-2</c:v>
                </c:pt>
                <c:pt idx="677">
                  <c:v>1.1388431073129368E-3</c:v>
                </c:pt>
                <c:pt idx="678">
                  <c:v>1.8254021164021417E-3</c:v>
                </c:pt>
                <c:pt idx="679">
                  <c:v>-5.756666372195296E-3</c:v>
                </c:pt>
                <c:pt idx="680">
                  <c:v>5.3090221957097228E-5</c:v>
                </c:pt>
                <c:pt idx="681">
                  <c:v>-6.9316814249373859E-3</c:v>
                </c:pt>
                <c:pt idx="682">
                  <c:v>-2.2999972456675399E-3</c:v>
                </c:pt>
                <c:pt idx="683">
                  <c:v>-2.235564532437484E-2</c:v>
                </c:pt>
                <c:pt idx="684">
                  <c:v>-2.4731270495911173E-2</c:v>
                </c:pt>
                <c:pt idx="685">
                  <c:v>5.0042140566470827E-3</c:v>
                </c:pt>
                <c:pt idx="686">
                  <c:v>-3.9918371827508903E-2</c:v>
                </c:pt>
                <c:pt idx="687">
                  <c:v>8.0125872559462241E-3</c:v>
                </c:pt>
                <c:pt idx="688">
                  <c:v>2.023355353827605E-2</c:v>
                </c:pt>
                <c:pt idx="689">
                  <c:v>1.7565616948354013E-3</c:v>
                </c:pt>
                <c:pt idx="690">
                  <c:v>-3.6568792000097106E-2</c:v>
                </c:pt>
                <c:pt idx="691">
                  <c:v>-3.0530134105917206E-3</c:v>
                </c:pt>
                <c:pt idx="692">
                  <c:v>-6.4771358239068544E-4</c:v>
                </c:pt>
                <c:pt idx="693">
                  <c:v>1.0666180028896965E-2</c:v>
                </c:pt>
                <c:pt idx="694">
                  <c:v>-4.8919852222388593E-2</c:v>
                </c:pt>
                <c:pt idx="695">
                  <c:v>2.0629555139241917E-2</c:v>
                </c:pt>
                <c:pt idx="696">
                  <c:v>2.0423594977811987E-3</c:v>
                </c:pt>
                <c:pt idx="697">
                  <c:v>-1.3247853378738128E-2</c:v>
                </c:pt>
                <c:pt idx="698">
                  <c:v>2.5210710086838173E-3</c:v>
                </c:pt>
                <c:pt idx="699">
                  <c:v>-1.3937210020440793E-2</c:v>
                </c:pt>
                <c:pt idx="700">
                  <c:v>-5.1621537503584447E-3</c:v>
                </c:pt>
                <c:pt idx="701">
                  <c:v>2.3782933136522466E-3</c:v>
                </c:pt>
                <c:pt idx="702">
                  <c:v>1.2294293120574729E-2</c:v>
                </c:pt>
                <c:pt idx="703">
                  <c:v>-1.1475326489134297E-2</c:v>
                </c:pt>
                <c:pt idx="704">
                  <c:v>3.2577859570825707E-2</c:v>
                </c:pt>
                <c:pt idx="705">
                  <c:v>1.3866505801473084E-2</c:v>
                </c:pt>
                <c:pt idx="706">
                  <c:v>2.323624292585702E-3</c:v>
                </c:pt>
                <c:pt idx="707">
                  <c:v>3.2279065767588655E-3</c:v>
                </c:pt>
                <c:pt idx="708">
                  <c:v>-5.0514858276078489E-2</c:v>
                </c:pt>
                <c:pt idx="709">
                  <c:v>1.2568981819829128E-2</c:v>
                </c:pt>
                <c:pt idx="710">
                  <c:v>-3.9185870947178958E-2</c:v>
                </c:pt>
                <c:pt idx="711">
                  <c:v>-1.1367585012302173E-2</c:v>
                </c:pt>
                <c:pt idx="712">
                  <c:v>1.5053526311403553E-2</c:v>
                </c:pt>
                <c:pt idx="713">
                  <c:v>2.0983193636307185E-2</c:v>
                </c:pt>
                <c:pt idx="714">
                  <c:v>1.9810253921340726E-2</c:v>
                </c:pt>
                <c:pt idx="715">
                  <c:v>-5.7579972624461906E-3</c:v>
                </c:pt>
                <c:pt idx="716">
                  <c:v>1.0790076018870387E-2</c:v>
                </c:pt>
                <c:pt idx="717">
                  <c:v>1.275559695970685E-2</c:v>
                </c:pt>
                <c:pt idx="718">
                  <c:v>1.5721300895257251E-2</c:v>
                </c:pt>
                <c:pt idx="719">
                  <c:v>-7.3579279547689724E-3</c:v>
                </c:pt>
                <c:pt idx="720">
                  <c:v>-9.5977793632653352E-3</c:v>
                </c:pt>
                <c:pt idx="721">
                  <c:v>-2.3049110281914142E-2</c:v>
                </c:pt>
                <c:pt idx="722">
                  <c:v>3.051367214714773E-4</c:v>
                </c:pt>
                <c:pt idx="723">
                  <c:v>4.0123345948720024E-2</c:v>
                </c:pt>
                <c:pt idx="724">
                  <c:v>1.9566378322932065E-2</c:v>
                </c:pt>
                <c:pt idx="725">
                  <c:v>-1.323514508709378E-2</c:v>
                </c:pt>
                <c:pt idx="726">
                  <c:v>-6.3855903238578815E-3</c:v>
                </c:pt>
                <c:pt idx="727">
                  <c:v>-6.1037857415313646E-3</c:v>
                </c:pt>
                <c:pt idx="728">
                  <c:v>1.9516330452529873E-2</c:v>
                </c:pt>
                <c:pt idx="729">
                  <c:v>-1.2423915867613489E-2</c:v>
                </c:pt>
                <c:pt idx="730">
                  <c:v>-1.10260986180436E-2</c:v>
                </c:pt>
                <c:pt idx="731">
                  <c:v>1.1297251297257338E-2</c:v>
                </c:pt>
                <c:pt idx="732">
                  <c:v>-2.3280370159387553E-2</c:v>
                </c:pt>
                <c:pt idx="733">
                  <c:v>1.4739445466189993E-2</c:v>
                </c:pt>
                <c:pt idx="734">
                  <c:v>-4.0144389669983016E-2</c:v>
                </c:pt>
                <c:pt idx="735">
                  <c:v>-4.2717084954859597E-2</c:v>
                </c:pt>
                <c:pt idx="736">
                  <c:v>-6.7608176414524213E-4</c:v>
                </c:pt>
                <c:pt idx="737">
                  <c:v>-1.1437284797966241E-2</c:v>
                </c:pt>
                <c:pt idx="738">
                  <c:v>3.5947070602881936E-2</c:v>
                </c:pt>
                <c:pt idx="739">
                  <c:v>1.5540954093512305E-2</c:v>
                </c:pt>
                <c:pt idx="740">
                  <c:v>2.4007930510256292E-2</c:v>
                </c:pt>
                <c:pt idx="741">
                  <c:v>-2.2385981500400165E-3</c:v>
                </c:pt>
                <c:pt idx="742">
                  <c:v>-2.122581969382642E-4</c:v>
                </c:pt>
                <c:pt idx="743">
                  <c:v>1.4374495830174361E-2</c:v>
                </c:pt>
                <c:pt idx="744">
                  <c:v>-2.2422195653747368E-3</c:v>
                </c:pt>
                <c:pt idx="745">
                  <c:v>2.3731090781179853E-2</c:v>
                </c:pt>
                <c:pt idx="746">
                  <c:v>-1.9785780954331478E-2</c:v>
                </c:pt>
                <c:pt idx="747">
                  <c:v>-3.3143774854770269E-3</c:v>
                </c:pt>
                <c:pt idx="748">
                  <c:v>-2.4985759834411314E-2</c:v>
                </c:pt>
                <c:pt idx="749">
                  <c:v>2.6885849369702841E-2</c:v>
                </c:pt>
                <c:pt idx="750">
                  <c:v>-1.1220825449880567E-2</c:v>
                </c:pt>
                <c:pt idx="751">
                  <c:v>1.4495317978683975E-2</c:v>
                </c:pt>
                <c:pt idx="752">
                  <c:v>3.2633347232828847E-2</c:v>
                </c:pt>
                <c:pt idx="753">
                  <c:v>1.155699370529728E-4</c:v>
                </c:pt>
                <c:pt idx="754">
                  <c:v>-9.4737421019186474E-3</c:v>
                </c:pt>
                <c:pt idx="755">
                  <c:v>4.1406164102140153E-3</c:v>
                </c:pt>
                <c:pt idx="756">
                  <c:v>-2.3260481324506976E-2</c:v>
                </c:pt>
                <c:pt idx="757">
                  <c:v>6.5110835764337072E-3</c:v>
                </c:pt>
                <c:pt idx="758">
                  <c:v>-5.9372893795841541E-3</c:v>
                </c:pt>
                <c:pt idx="759">
                  <c:v>-3.6727739092288103E-2</c:v>
                </c:pt>
                <c:pt idx="760">
                  <c:v>2.5572932928870307E-2</c:v>
                </c:pt>
                <c:pt idx="761">
                  <c:v>-2.0152259463906974E-3</c:v>
                </c:pt>
                <c:pt idx="762">
                  <c:v>-1.1211916872397532E-2</c:v>
                </c:pt>
                <c:pt idx="763">
                  <c:v>1.9203181837954553E-2</c:v>
                </c:pt>
                <c:pt idx="764">
                  <c:v>-3.3196309973925198E-3</c:v>
                </c:pt>
                <c:pt idx="765">
                  <c:v>-2.034447217354407E-2</c:v>
                </c:pt>
                <c:pt idx="766">
                  <c:v>1.6601270575183902E-2</c:v>
                </c:pt>
                <c:pt idx="767">
                  <c:v>-4.1428141755254111E-2</c:v>
                </c:pt>
                <c:pt idx="768">
                  <c:v>4.5261732741066485E-3</c:v>
                </c:pt>
                <c:pt idx="769">
                  <c:v>-9.4808912604384954E-3</c:v>
                </c:pt>
                <c:pt idx="770">
                  <c:v>-4.2298411310957906E-2</c:v>
                </c:pt>
                <c:pt idx="771">
                  <c:v>1.827350253139981E-2</c:v>
                </c:pt>
                <c:pt idx="772">
                  <c:v>-2.7728279775694142E-2</c:v>
                </c:pt>
                <c:pt idx="773">
                  <c:v>-1.8390768316990269E-2</c:v>
                </c:pt>
                <c:pt idx="774">
                  <c:v>3.3974815294213201E-5</c:v>
                </c:pt>
                <c:pt idx="775">
                  <c:v>2.399530152073881E-2</c:v>
                </c:pt>
                <c:pt idx="776">
                  <c:v>3.8281857891805826E-2</c:v>
                </c:pt>
                <c:pt idx="777">
                  <c:v>1.8323404892951256E-2</c:v>
                </c:pt>
                <c:pt idx="778">
                  <c:v>1.2539184952978122E-2</c:v>
                </c:pt>
                <c:pt idx="779">
                  <c:v>-0.26390094427244581</c:v>
                </c:pt>
                <c:pt idx="780">
                  <c:v>-2.8179635518582602E-3</c:v>
                </c:pt>
                <c:pt idx="781">
                  <c:v>-5.1372863492730514E-2</c:v>
                </c:pt>
                <c:pt idx="782">
                  <c:v>-2.1030683010436424E-2</c:v>
                </c:pt>
                <c:pt idx="783">
                  <c:v>5.3683383485256142E-2</c:v>
                </c:pt>
                <c:pt idx="784">
                  <c:v>-1.6939625000000014E-2</c:v>
                </c:pt>
                <c:pt idx="785">
                  <c:v>-3.7356968204942387E-2</c:v>
                </c:pt>
                <c:pt idx="786">
                  <c:v>-8.4263537905758801E-3</c:v>
                </c:pt>
                <c:pt idx="787">
                  <c:v>1.5158488954871263E-2</c:v>
                </c:pt>
                <c:pt idx="788">
                  <c:v>-2.018102714932124E-2</c:v>
                </c:pt>
                <c:pt idx="789">
                  <c:v>-4.0777622081109133E-2</c:v>
                </c:pt>
                <c:pt idx="790">
                  <c:v>-7.4623414749583894E-3</c:v>
                </c:pt>
                <c:pt idx="791">
                  <c:v>-1.9790463333518304E-2</c:v>
                </c:pt>
                <c:pt idx="792">
                  <c:v>-1.7963207462755371E-2</c:v>
                </c:pt>
                <c:pt idx="793">
                  <c:v>4.6107377870103994E-2</c:v>
                </c:pt>
                <c:pt idx="794">
                  <c:v>1.3872783799437904E-2</c:v>
                </c:pt>
                <c:pt idx="795">
                  <c:v>2.6130891792681687E-3</c:v>
                </c:pt>
                <c:pt idx="796">
                  <c:v>-3.5729488867599413E-2</c:v>
                </c:pt>
                <c:pt idx="797">
                  <c:v>2.2703798154607213E-2</c:v>
                </c:pt>
                <c:pt idx="798">
                  <c:v>-2.4698476648414514E-2</c:v>
                </c:pt>
                <c:pt idx="799">
                  <c:v>-1.4337108861717907E-2</c:v>
                </c:pt>
                <c:pt idx="800">
                  <c:v>-6.2931106297421935E-2</c:v>
                </c:pt>
                <c:pt idx="801">
                  <c:v>1.5042364031352395E-2</c:v>
                </c:pt>
                <c:pt idx="802">
                  <c:v>4.3144712291833365E-2</c:v>
                </c:pt>
                <c:pt idx="803">
                  <c:v>-1.6574272040302263E-2</c:v>
                </c:pt>
                <c:pt idx="804">
                  <c:v>-3.8932461080235403E-2</c:v>
                </c:pt>
                <c:pt idx="805">
                  <c:v>-5.2235808047355059E-3</c:v>
                </c:pt>
                <c:pt idx="806">
                  <c:v>2.8934222018586864E-2</c:v>
                </c:pt>
                <c:pt idx="807">
                  <c:v>6.0407259596975793E-2</c:v>
                </c:pt>
                <c:pt idx="808">
                  <c:v>2.0674708523432006E-2</c:v>
                </c:pt>
                <c:pt idx="809">
                  <c:v>4.161859683638558E-2</c:v>
                </c:pt>
                <c:pt idx="810">
                  <c:v>-2.3095754466817109E-2</c:v>
                </c:pt>
                <c:pt idx="811">
                  <c:v>2.4398264116547663E-2</c:v>
                </c:pt>
                <c:pt idx="812">
                  <c:v>-1.4724149957742405E-2</c:v>
                </c:pt>
                <c:pt idx="813">
                  <c:v>2.8623628781198507E-2</c:v>
                </c:pt>
                <c:pt idx="814">
                  <c:v>1.0247301217237714E-2</c:v>
                </c:pt>
                <c:pt idx="815">
                  <c:v>7.9793929498883642E-3</c:v>
                </c:pt>
                <c:pt idx="816">
                  <c:v>2.8042421897981562E-2</c:v>
                </c:pt>
                <c:pt idx="817">
                  <c:v>-8.7444313549793762E-3</c:v>
                </c:pt>
                <c:pt idx="818">
                  <c:v>-2.4094820519776516E-2</c:v>
                </c:pt>
                <c:pt idx="819">
                  <c:v>1.1198079640231784E-2</c:v>
                </c:pt>
                <c:pt idx="820">
                  <c:v>4.0204548626963321E-2</c:v>
                </c:pt>
                <c:pt idx="821">
                  <c:v>-8.7648168316935005E-3</c:v>
                </c:pt>
                <c:pt idx="822">
                  <c:v>-3.6835719234570741E-2</c:v>
                </c:pt>
                <c:pt idx="823">
                  <c:v>-1.5674249677462004E-3</c:v>
                </c:pt>
                <c:pt idx="824">
                  <c:v>-2.7808701876770314E-3</c:v>
                </c:pt>
                <c:pt idx="825">
                  <c:v>-2.6402172208859209E-2</c:v>
                </c:pt>
                <c:pt idx="826">
                  <c:v>-1.0717952161943711E-2</c:v>
                </c:pt>
                <c:pt idx="827">
                  <c:v>3.9693938730243072E-3</c:v>
                </c:pt>
                <c:pt idx="828">
                  <c:v>-2.2373188930341237E-2</c:v>
                </c:pt>
                <c:pt idx="829">
                  <c:v>2.8071701382157421E-3</c:v>
                </c:pt>
                <c:pt idx="830">
                  <c:v>3.1029054779540655E-2</c:v>
                </c:pt>
                <c:pt idx="831">
                  <c:v>-7.7723069142911716E-2</c:v>
                </c:pt>
                <c:pt idx="832">
                  <c:v>-6.1620552456047806E-2</c:v>
                </c:pt>
                <c:pt idx="833">
                  <c:v>-2.1056020910341089E-2</c:v>
                </c:pt>
                <c:pt idx="834">
                  <c:v>1.5642843867020417E-2</c:v>
                </c:pt>
                <c:pt idx="835">
                  <c:v>-3.230123449646416E-2</c:v>
                </c:pt>
                <c:pt idx="836">
                  <c:v>-3.3158331580408928E-2</c:v>
                </c:pt>
                <c:pt idx="837">
                  <c:v>0.17593597901004832</c:v>
                </c:pt>
                <c:pt idx="838">
                  <c:v>-2.5567467565595026E-2</c:v>
                </c:pt>
                <c:pt idx="839">
                  <c:v>5.3175058347009418E-2</c:v>
                </c:pt>
                <c:pt idx="840">
                  <c:v>4.2627479689587577E-3</c:v>
                </c:pt>
                <c:pt idx="841">
                  <c:v>5.3671674072874875E-2</c:v>
                </c:pt>
                <c:pt idx="842">
                  <c:v>-6.7723041623507507E-2</c:v>
                </c:pt>
                <c:pt idx="843">
                  <c:v>-2.1653519404904564E-2</c:v>
                </c:pt>
                <c:pt idx="844">
                  <c:v>-3.7100637245902068E-2</c:v>
                </c:pt>
                <c:pt idx="845">
                  <c:v>7.3390089629832289E-3</c:v>
                </c:pt>
                <c:pt idx="846">
                  <c:v>-4.5079632028726446E-2</c:v>
                </c:pt>
                <c:pt idx="847">
                  <c:v>1.3245734522471908E-2</c:v>
                </c:pt>
                <c:pt idx="848">
                  <c:v>3.8590199785865975E-2</c:v>
                </c:pt>
                <c:pt idx="849">
                  <c:v>7.1493204901149632E-3</c:v>
                </c:pt>
                <c:pt idx="850">
                  <c:v>1.2897430965217005E-2</c:v>
                </c:pt>
                <c:pt idx="851">
                  <c:v>-5.1228853302459076E-2</c:v>
                </c:pt>
                <c:pt idx="852">
                  <c:v>-4.9418017857416618E-3</c:v>
                </c:pt>
                <c:pt idx="853">
                  <c:v>1.1762246235222484E-2</c:v>
                </c:pt>
                <c:pt idx="854">
                  <c:v>1.3898951623915634E-2</c:v>
                </c:pt>
                <c:pt idx="855">
                  <c:v>-7.6186094403222659E-2</c:v>
                </c:pt>
                <c:pt idx="856">
                  <c:v>1.4066653872830237E-2</c:v>
                </c:pt>
                <c:pt idx="857">
                  <c:v>4.243052230397093E-2</c:v>
                </c:pt>
                <c:pt idx="858">
                  <c:v>1.8264363140834794E-2</c:v>
                </c:pt>
                <c:pt idx="859">
                  <c:v>-7.6359655707487484E-3</c:v>
                </c:pt>
                <c:pt idx="860">
                  <c:v>-2.5821111473978031E-2</c:v>
                </c:pt>
                <c:pt idx="861">
                  <c:v>5.4177279761330022E-2</c:v>
                </c:pt>
                <c:pt idx="862">
                  <c:v>-4.0631609973692084E-2</c:v>
                </c:pt>
                <c:pt idx="863">
                  <c:v>1.8188494696448787E-2</c:v>
                </c:pt>
                <c:pt idx="864">
                  <c:v>7.2071763191763338E-3</c:v>
                </c:pt>
                <c:pt idx="865">
                  <c:v>5.0600819338639802E-3</c:v>
                </c:pt>
                <c:pt idx="866">
                  <c:v>-6.4279897601097868E-2</c:v>
                </c:pt>
                <c:pt idx="867">
                  <c:v>-4.5815179347826085E-2</c:v>
                </c:pt>
                <c:pt idx="868">
                  <c:v>-6.4418816136403101E-2</c:v>
                </c:pt>
                <c:pt idx="869">
                  <c:v>-3.2265859986176926E-3</c:v>
                </c:pt>
                <c:pt idx="870">
                  <c:v>3.4324864944112132E-2</c:v>
                </c:pt>
                <c:pt idx="871">
                  <c:v>-5.0073874812853636E-2</c:v>
                </c:pt>
                <c:pt idx="872">
                  <c:v>1.7840555039490225E-2</c:v>
                </c:pt>
                <c:pt idx="873">
                  <c:v>-4.0857467910789369E-2</c:v>
                </c:pt>
                <c:pt idx="874">
                  <c:v>-7.6408594528966089E-3</c:v>
                </c:pt>
                <c:pt idx="875">
                  <c:v>1.8607596332078424E-2</c:v>
                </c:pt>
                <c:pt idx="876">
                  <c:v>7.1874040944881701E-2</c:v>
                </c:pt>
                <c:pt idx="877">
                  <c:v>-3.9374646465099028E-3</c:v>
                </c:pt>
                <c:pt idx="878">
                  <c:v>-5.197953708243741E-2</c:v>
                </c:pt>
                <c:pt idx="879">
                  <c:v>2.0288829611786241E-2</c:v>
                </c:pt>
                <c:pt idx="880">
                  <c:v>-1.6408454112377013E-2</c:v>
                </c:pt>
                <c:pt idx="881">
                  <c:v>-7.5658976744186202E-3</c:v>
                </c:pt>
                <c:pt idx="882">
                  <c:v>5.0990458357748292E-2</c:v>
                </c:pt>
                <c:pt idx="883">
                  <c:v>9.39414936210059E-3</c:v>
                </c:pt>
                <c:pt idx="884">
                  <c:v>1.4254567609010449E-2</c:v>
                </c:pt>
                <c:pt idx="885">
                  <c:v>-7.6078575107977331E-3</c:v>
                </c:pt>
                <c:pt idx="886">
                  <c:v>-4.6816478030884845E-2</c:v>
                </c:pt>
                <c:pt idx="887">
                  <c:v>2.3943945728635008E-3</c:v>
                </c:pt>
                <c:pt idx="888">
                  <c:v>1.3474673523006242E-3</c:v>
                </c:pt>
                <c:pt idx="889">
                  <c:v>-3.3274217589020161E-2</c:v>
                </c:pt>
                <c:pt idx="890">
                  <c:v>4.207525386760036E-2</c:v>
                </c:pt>
                <c:pt idx="891">
                  <c:v>1.5361257110405369E-2</c:v>
                </c:pt>
                <c:pt idx="892">
                  <c:v>5.1127209259755002E-2</c:v>
                </c:pt>
                <c:pt idx="893">
                  <c:v>4.1586056670759319E-2</c:v>
                </c:pt>
                <c:pt idx="894">
                  <c:v>4.3695451279579522E-4</c:v>
                </c:pt>
                <c:pt idx="895">
                  <c:v>-7.5885757229740225E-2</c:v>
                </c:pt>
                <c:pt idx="896">
                  <c:v>-1.5478288758119296E-2</c:v>
                </c:pt>
                <c:pt idx="897">
                  <c:v>-4.5004502070369101E-2</c:v>
                </c:pt>
                <c:pt idx="898">
                  <c:v>6.5535710921861723E-2</c:v>
                </c:pt>
                <c:pt idx="899">
                  <c:v>-5.2246732489129255E-2</c:v>
                </c:pt>
                <c:pt idx="900">
                  <c:v>-1.0079610440022257E-2</c:v>
                </c:pt>
                <c:pt idx="901">
                  <c:v>5.2167628453765325E-3</c:v>
                </c:pt>
                <c:pt idx="902">
                  <c:v>1.6257675944499894E-3</c:v>
                </c:pt>
                <c:pt idx="903">
                  <c:v>5.3748679021803136E-2</c:v>
                </c:pt>
                <c:pt idx="904">
                  <c:v>1.0485805500844769E-2</c:v>
                </c:pt>
                <c:pt idx="905">
                  <c:v>-2.0284961353141062E-2</c:v>
                </c:pt>
                <c:pt idx="906">
                  <c:v>1.879001245413181E-2</c:v>
                </c:pt>
                <c:pt idx="907">
                  <c:v>-1.0102795888399352E-2</c:v>
                </c:pt>
                <c:pt idx="908">
                  <c:v>5.820920345463243E-2</c:v>
                </c:pt>
                <c:pt idx="909">
                  <c:v>-4.7661266068438346E-3</c:v>
                </c:pt>
                <c:pt idx="910">
                  <c:v>1.6958673250361267E-2</c:v>
                </c:pt>
                <c:pt idx="911">
                  <c:v>2.1606592797782653E-3</c:v>
                </c:pt>
                <c:pt idx="912">
                  <c:v>-7.8500636179449357E-3</c:v>
                </c:pt>
                <c:pt idx="913">
                  <c:v>-2.5742435918301387E-2</c:v>
                </c:pt>
                <c:pt idx="914">
                  <c:v>-1.0866570973981915E-3</c:v>
                </c:pt>
                <c:pt idx="915">
                  <c:v>-3.8360224702617018E-2</c:v>
                </c:pt>
                <c:pt idx="916">
                  <c:v>-2.9233173347033681E-2</c:v>
                </c:pt>
                <c:pt idx="917">
                  <c:v>-1.1898202786294942E-2</c:v>
                </c:pt>
                <c:pt idx="918">
                  <c:v>1.3344882295668326E-2</c:v>
                </c:pt>
                <c:pt idx="919">
                  <c:v>3.3811124397008507E-2</c:v>
                </c:pt>
                <c:pt idx="920">
                  <c:v>-4.1474108552400191E-2</c:v>
                </c:pt>
                <c:pt idx="921">
                  <c:v>-1.6133026431777941E-2</c:v>
                </c:pt>
                <c:pt idx="922">
                  <c:v>-1.26279702535399E-2</c:v>
                </c:pt>
                <c:pt idx="923">
                  <c:v>3.6714105708472777E-2</c:v>
                </c:pt>
                <c:pt idx="924">
                  <c:v>1.4914430150377633E-2</c:v>
                </c:pt>
                <c:pt idx="925">
                  <c:v>-3.0478918538468069E-2</c:v>
                </c:pt>
                <c:pt idx="926">
                  <c:v>-1.1102881251745411E-2</c:v>
                </c:pt>
                <c:pt idx="927">
                  <c:v>1.1669017797925507E-2</c:v>
                </c:pt>
                <c:pt idx="928">
                  <c:v>1.0412114286502572E-2</c:v>
                </c:pt>
                <c:pt idx="929">
                  <c:v>4.3749204538432673E-2</c:v>
                </c:pt>
                <c:pt idx="930">
                  <c:v>-1.1231865606805558E-3</c:v>
                </c:pt>
                <c:pt idx="931">
                  <c:v>-9.3690822349456804E-2</c:v>
                </c:pt>
                <c:pt idx="932">
                  <c:v>-1.0840488119882252E-2</c:v>
                </c:pt>
                <c:pt idx="933">
                  <c:v>-1.2675764094039921E-2</c:v>
                </c:pt>
                <c:pt idx="934">
                  <c:v>-2.1798795951879724E-2</c:v>
                </c:pt>
                <c:pt idx="935">
                  <c:v>1.1825901174251863E-2</c:v>
                </c:pt>
                <c:pt idx="936">
                  <c:v>-1.3038832237837195E-2</c:v>
                </c:pt>
                <c:pt idx="937">
                  <c:v>-2.7175036680814335E-2</c:v>
                </c:pt>
                <c:pt idx="938">
                  <c:v>4.925499751108342E-3</c:v>
                </c:pt>
                <c:pt idx="939">
                  <c:v>-1.6874407519109069E-2</c:v>
                </c:pt>
                <c:pt idx="940">
                  <c:v>-2.8772942702857573E-2</c:v>
                </c:pt>
                <c:pt idx="941">
                  <c:v>-1.4446000383002144E-2</c:v>
                </c:pt>
                <c:pt idx="942">
                  <c:v>5.3645887811572424E-2</c:v>
                </c:pt>
                <c:pt idx="943">
                  <c:v>-3.6720549136921687E-2</c:v>
                </c:pt>
                <c:pt idx="944">
                  <c:v>-5.3515943009575517E-3</c:v>
                </c:pt>
                <c:pt idx="945">
                  <c:v>2.1594989321675584E-2</c:v>
                </c:pt>
                <c:pt idx="946">
                  <c:v>1.2048178255189557E-2</c:v>
                </c:pt>
                <c:pt idx="947">
                  <c:v>-9.267201377724632E-3</c:v>
                </c:pt>
                <c:pt idx="948">
                  <c:v>6.4765435739411181E-4</c:v>
                </c:pt>
                <c:pt idx="949">
                  <c:v>-4.0411373532180828E-2</c:v>
                </c:pt>
                <c:pt idx="950">
                  <c:v>2.5477407841381083E-3</c:v>
                </c:pt>
                <c:pt idx="951">
                  <c:v>-3.9240602994874196E-2</c:v>
                </c:pt>
                <c:pt idx="952">
                  <c:v>-8.0908126391450175E-3</c:v>
                </c:pt>
                <c:pt idx="953">
                  <c:v>2.1882298039215708E-2</c:v>
                </c:pt>
                <c:pt idx="954">
                  <c:v>-2.7093339394069993E-2</c:v>
                </c:pt>
                <c:pt idx="955">
                  <c:v>5.7431294455170478E-2</c:v>
                </c:pt>
                <c:pt idx="956">
                  <c:v>-9.2508957382593238E-3</c:v>
                </c:pt>
                <c:pt idx="957">
                  <c:v>3.2378990232402316E-3</c:v>
                </c:pt>
                <c:pt idx="958">
                  <c:v>-1.27598667795501E-2</c:v>
                </c:pt>
                <c:pt idx="959">
                  <c:v>-1.1556329442380719E-2</c:v>
                </c:pt>
                <c:pt idx="960">
                  <c:v>-2.2305515818226151E-3</c:v>
                </c:pt>
                <c:pt idx="961">
                  <c:v>6.0052373881804177E-2</c:v>
                </c:pt>
                <c:pt idx="962">
                  <c:v>-5.5923120352087907E-2</c:v>
                </c:pt>
                <c:pt idx="963">
                  <c:v>-0.24557081559855409</c:v>
                </c:pt>
                <c:pt idx="964">
                  <c:v>1.2864968085256834E-2</c:v>
                </c:pt>
                <c:pt idx="965">
                  <c:v>-6.0887028051018977E-2</c:v>
                </c:pt>
                <c:pt idx="966">
                  <c:v>2.189773413921281E-2</c:v>
                </c:pt>
                <c:pt idx="967">
                  <c:v>-4.8949539357653449E-2</c:v>
                </c:pt>
                <c:pt idx="968">
                  <c:v>-1.8003059222409412E-2</c:v>
                </c:pt>
                <c:pt idx="969">
                  <c:v>2.1144943374426184E-2</c:v>
                </c:pt>
                <c:pt idx="970">
                  <c:v>6.5315562668624594E-2</c:v>
                </c:pt>
                <c:pt idx="971">
                  <c:v>-2.5847807838629278E-3</c:v>
                </c:pt>
                <c:pt idx="972">
                  <c:v>5.1829583789472444E-2</c:v>
                </c:pt>
                <c:pt idx="973">
                  <c:v>0.10249336648769725</c:v>
                </c:pt>
                <c:pt idx="974">
                  <c:v>1.0279735131499157E-2</c:v>
                </c:pt>
                <c:pt idx="975">
                  <c:v>1.0617625480913828E-2</c:v>
                </c:pt>
                <c:pt idx="976">
                  <c:v>2.5039406189464097E-2</c:v>
                </c:pt>
                <c:pt idx="977">
                  <c:v>-3.2883489359694429E-2</c:v>
                </c:pt>
                <c:pt idx="978">
                  <c:v>-1.5720268063580289E-2</c:v>
                </c:pt>
                <c:pt idx="979">
                  <c:v>5.3836340614707989E-3</c:v>
                </c:pt>
                <c:pt idx="980">
                  <c:v>-1.9544863376755206E-2</c:v>
                </c:pt>
                <c:pt idx="981">
                  <c:v>1.4381949623321066E-2</c:v>
                </c:pt>
                <c:pt idx="982">
                  <c:v>7.1787148747537444E-3</c:v>
                </c:pt>
                <c:pt idx="983">
                  <c:v>-7.3948148145903669E-3</c:v>
                </c:pt>
                <c:pt idx="984">
                  <c:v>-2.3606542550703047E-2</c:v>
                </c:pt>
                <c:pt idx="985">
                  <c:v>6.2511491657579743E-3</c:v>
                </c:pt>
                <c:pt idx="986">
                  <c:v>7.8932935126374337E-2</c:v>
                </c:pt>
                <c:pt idx="987">
                  <c:v>1.9813751393967127E-2</c:v>
                </c:pt>
                <c:pt idx="988">
                  <c:v>2.5323779054736262E-2</c:v>
                </c:pt>
                <c:pt idx="989">
                  <c:v>-8.5836749304991633E-3</c:v>
                </c:pt>
                <c:pt idx="990">
                  <c:v>-6.7875496201911356E-2</c:v>
                </c:pt>
                <c:pt idx="991">
                  <c:v>-1.6649403698314469E-3</c:v>
                </c:pt>
                <c:pt idx="992">
                  <c:v>1.2288264723953279E-2</c:v>
                </c:pt>
                <c:pt idx="993">
                  <c:v>4.9423392882625983E-3</c:v>
                </c:pt>
                <c:pt idx="994">
                  <c:v>-1.0267497665789604E-2</c:v>
                </c:pt>
                <c:pt idx="995">
                  <c:v>4.7423965194176354E-2</c:v>
                </c:pt>
                <c:pt idx="996">
                  <c:v>1.19849685895137E-2</c:v>
                </c:pt>
                <c:pt idx="997">
                  <c:v>-4.4740473550143101E-2</c:v>
                </c:pt>
                <c:pt idx="998">
                  <c:v>2.8239327968328398E-2</c:v>
                </c:pt>
                <c:pt idx="999">
                  <c:v>-4.1446847525747343E-2</c:v>
                </c:pt>
                <c:pt idx="1000">
                  <c:v>2.2798680394863435E-2</c:v>
                </c:pt>
                <c:pt idx="1001">
                  <c:v>2.2803024094389723E-2</c:v>
                </c:pt>
                <c:pt idx="1002">
                  <c:v>-2.2044079458181765E-2</c:v>
                </c:pt>
                <c:pt idx="1003">
                  <c:v>7.8551739791195008E-3</c:v>
                </c:pt>
                <c:pt idx="1004">
                  <c:v>-9.8272110316230954E-3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6-4CB8-83DD-55BC4465A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5822719"/>
        <c:axId val="665823135"/>
      </c:lineChart>
      <c:dateAx>
        <c:axId val="665822719"/>
        <c:scaling>
          <c:orientation val="minMax"/>
          <c:min val="4456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823135"/>
        <c:crosses val="autoZero"/>
        <c:auto val="1"/>
        <c:lblOffset val="100"/>
        <c:baseTimeUnit val="days"/>
      </c:dateAx>
      <c:valAx>
        <c:axId val="66582313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822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Scroll" dx="31" fmlaLink="$L$18" horiz="1" max="10" page="10" val="7"/>
</file>

<file path=xl/ctrlProps/ctrlProp2.xml><?xml version="1.0" encoding="utf-8"?>
<formControlPr xmlns="http://schemas.microsoft.com/office/spreadsheetml/2009/9/main" objectType="Scroll" dx="31" fmlaLink="$M$18" horiz="1" max="10" min="1" page="10" val="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569898</xdr:colOff>
      <xdr:row>12</xdr:row>
      <xdr:rowOff>176109</xdr:rowOff>
    </xdr:from>
    <xdr:to>
      <xdr:col>14</xdr:col>
      <xdr:colOff>433917</xdr:colOff>
      <xdr:row>33</xdr:row>
      <xdr:rowOff>52917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120650</xdr:colOff>
          <xdr:row>6</xdr:row>
          <xdr:rowOff>25400</xdr:rowOff>
        </xdr:from>
        <xdr:to>
          <xdr:col>12</xdr:col>
          <xdr:colOff>1473200</xdr:colOff>
          <xdr:row>6</xdr:row>
          <xdr:rowOff>311150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8</xdr:row>
          <xdr:rowOff>25400</xdr:rowOff>
        </xdr:from>
        <xdr:to>
          <xdr:col>12</xdr:col>
          <xdr:colOff>1466850</xdr:colOff>
          <xdr:row>8</xdr:row>
          <xdr:rowOff>304800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015" cy="62931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0.49399</cdr:x>
      <cdr:y>0.61295</cdr:y>
    </cdr:from>
    <cdr:to>
      <cdr:x>0.99563</cdr:x>
      <cdr:y>0.99409</cdr:y>
    </cdr:to>
    <cdr:graphicFrame macro="">
      <cdr:nvGraphicFramePr>
        <cdr:cNvPr id="2" name="Chart 2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015" cy="629313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0.48743</cdr:x>
      <cdr:y>0.58886</cdr:y>
    </cdr:from>
    <cdr:to>
      <cdr:x>1</cdr:x>
      <cdr:y>1</cdr:y>
    </cdr:to>
    <cdr:graphicFrame macro="">
      <cdr:nvGraphicFramePr>
        <cdr:cNvPr id="2" name="Chart 3"/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APL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APL"/>
    </sheetNames>
    <sheetDataSet>
      <sheetData sheetId="0">
        <row r="1">
          <cell r="H1" t="str">
            <v>Stock Return</v>
          </cell>
        </row>
        <row r="2">
          <cell r="A2">
            <v>43467</v>
          </cell>
          <cell r="H2">
            <v>0</v>
          </cell>
        </row>
        <row r="3">
          <cell r="A3">
            <v>43468</v>
          </cell>
          <cell r="H3">
            <v>-9.9607370820668728E-2</v>
          </cell>
        </row>
        <row r="4">
          <cell r="A4">
            <v>43469</v>
          </cell>
          <cell r="H4">
            <v>4.2689301844312633E-2</v>
          </cell>
        </row>
        <row r="5">
          <cell r="A5">
            <v>43472</v>
          </cell>
          <cell r="H5">
            <v>-2.2258465459557009E-3</v>
          </cell>
        </row>
        <row r="6">
          <cell r="A6">
            <v>43473</v>
          </cell>
          <cell r="H6">
            <v>1.9063125481680654E-2</v>
          </cell>
        </row>
        <row r="7">
          <cell r="A7">
            <v>43474</v>
          </cell>
          <cell r="H7">
            <v>1.6981731343283624E-2</v>
          </cell>
        </row>
        <row r="8">
          <cell r="A8">
            <v>43475</v>
          </cell>
          <cell r="H8">
            <v>3.1961908080671009E-3</v>
          </cell>
        </row>
        <row r="9">
          <cell r="A9">
            <v>43476</v>
          </cell>
          <cell r="H9">
            <v>-9.8180231516767913E-3</v>
          </cell>
        </row>
        <row r="10">
          <cell r="A10">
            <v>43479</v>
          </cell>
          <cell r="H10">
            <v>-1.5037048527785202E-2</v>
          </cell>
        </row>
        <row r="11">
          <cell r="A11">
            <v>43480</v>
          </cell>
          <cell r="H11">
            <v>2.0466719999999938E-2</v>
          </cell>
        </row>
        <row r="12">
          <cell r="A12">
            <v>43481</v>
          </cell>
          <cell r="H12">
            <v>1.2216606142726461E-2</v>
          </cell>
        </row>
        <row r="13">
          <cell r="A13">
            <v>43482</v>
          </cell>
          <cell r="H13">
            <v>5.9377563976312775E-3</v>
          </cell>
        </row>
        <row r="14">
          <cell r="A14">
            <v>43483</v>
          </cell>
          <cell r="H14">
            <v>6.15942512511225E-3</v>
          </cell>
        </row>
        <row r="15">
          <cell r="A15">
            <v>43487</v>
          </cell>
          <cell r="H15">
            <v>-2.2446140928649827E-2</v>
          </cell>
        </row>
        <row r="16">
          <cell r="A16">
            <v>43488</v>
          </cell>
          <cell r="H16">
            <v>4.044331270858903E-3</v>
          </cell>
        </row>
        <row r="17">
          <cell r="A17">
            <v>43489</v>
          </cell>
          <cell r="H17">
            <v>-7.926221413721346E-3</v>
          </cell>
        </row>
        <row r="18">
          <cell r="A18">
            <v>43490</v>
          </cell>
          <cell r="H18">
            <v>3.3136870547134878E-2</v>
          </cell>
        </row>
        <row r="19">
          <cell r="A19">
            <v>43493</v>
          </cell>
          <cell r="H19">
            <v>-9.2545134192321132E-3</v>
          </cell>
        </row>
        <row r="20">
          <cell r="A20">
            <v>43494</v>
          </cell>
          <cell r="H20">
            <v>-1.0364759811522517E-2</v>
          </cell>
        </row>
        <row r="21">
          <cell r="A21">
            <v>43495</v>
          </cell>
          <cell r="H21">
            <v>6.833468157924405E-2</v>
          </cell>
        </row>
        <row r="22">
          <cell r="A22">
            <v>43496</v>
          </cell>
          <cell r="H22">
            <v>7.2012344931919881E-3</v>
          </cell>
        </row>
        <row r="23">
          <cell r="A23">
            <v>43497</v>
          </cell>
          <cell r="H23">
            <v>4.8065367746574772E-4</v>
          </cell>
        </row>
        <row r="24">
          <cell r="A24">
            <v>43500</v>
          </cell>
          <cell r="H24">
            <v>2.8404971693370751E-2</v>
          </cell>
        </row>
        <row r="25">
          <cell r="A25">
            <v>43501</v>
          </cell>
          <cell r="H25">
            <v>1.71094423357665E-2</v>
          </cell>
        </row>
        <row r="26">
          <cell r="A26">
            <v>43502</v>
          </cell>
          <cell r="H26">
            <v>3.4454014672369304E-4</v>
          </cell>
        </row>
        <row r="27">
          <cell r="A27">
            <v>43503</v>
          </cell>
          <cell r="H27">
            <v>-1.8939393504605384E-2</v>
          </cell>
        </row>
        <row r="28">
          <cell r="A28">
            <v>43504</v>
          </cell>
          <cell r="H28">
            <v>-3.1005030279512846E-3</v>
          </cell>
        </row>
        <row r="29">
          <cell r="A29">
            <v>43507</v>
          </cell>
          <cell r="H29">
            <v>-5.7509065019445416E-3</v>
          </cell>
        </row>
        <row r="30">
          <cell r="A30">
            <v>43508</v>
          </cell>
          <cell r="H30">
            <v>8.6171756414885614E-3</v>
          </cell>
        </row>
        <row r="31">
          <cell r="A31">
            <v>43509</v>
          </cell>
          <cell r="H31">
            <v>-4.1547662238866634E-3</v>
          </cell>
        </row>
        <row r="32">
          <cell r="A32">
            <v>43510</v>
          </cell>
          <cell r="H32">
            <v>3.6432720010939335E-3</v>
          </cell>
        </row>
        <row r="33">
          <cell r="A33">
            <v>43511</v>
          </cell>
          <cell r="H33">
            <v>-2.2248477230715213E-3</v>
          </cell>
        </row>
        <row r="34">
          <cell r="A34">
            <v>43515</v>
          </cell>
          <cell r="H34">
            <v>2.9925595587372289E-3</v>
          </cell>
        </row>
        <row r="35">
          <cell r="A35">
            <v>43516</v>
          </cell>
          <cell r="H35">
            <v>6.4354300092637207E-3</v>
          </cell>
        </row>
        <row r="36">
          <cell r="A36">
            <v>43517</v>
          </cell>
          <cell r="H36">
            <v>-5.6385746672091841E-3</v>
          </cell>
        </row>
        <row r="37">
          <cell r="A37">
            <v>43518</v>
          </cell>
          <cell r="H37">
            <v>1.1165696508025125E-2</v>
          </cell>
        </row>
        <row r="38">
          <cell r="A38">
            <v>43521</v>
          </cell>
          <cell r="H38">
            <v>7.2844770769497913E-3</v>
          </cell>
        </row>
        <row r="39">
          <cell r="A39">
            <v>43522</v>
          </cell>
          <cell r="H39">
            <v>5.7397694022798262E-4</v>
          </cell>
        </row>
        <row r="40">
          <cell r="A40">
            <v>43523</v>
          </cell>
          <cell r="H40">
            <v>3.0975506223827054E-3</v>
          </cell>
        </row>
        <row r="41">
          <cell r="A41">
            <v>43524</v>
          </cell>
          <cell r="H41">
            <v>-9.8359011799827867E-3</v>
          </cell>
        </row>
        <row r="42">
          <cell r="A42">
            <v>43525</v>
          </cell>
          <cell r="H42">
            <v>1.0511164216513436E-2</v>
          </cell>
        </row>
        <row r="43">
          <cell r="A43">
            <v>43528</v>
          </cell>
          <cell r="H43">
            <v>5.0294793393153014E-3</v>
          </cell>
        </row>
        <row r="44">
          <cell r="A44">
            <v>43529</v>
          </cell>
          <cell r="H44">
            <v>-1.8197781372861765E-3</v>
          </cell>
        </row>
        <row r="45">
          <cell r="A45">
            <v>43530</v>
          </cell>
          <cell r="H45">
            <v>-5.7539793767447112E-3</v>
          </cell>
        </row>
        <row r="46">
          <cell r="A46">
            <v>43531</v>
          </cell>
          <cell r="H46">
            <v>-1.157462728456049E-2</v>
          </cell>
        </row>
        <row r="47">
          <cell r="A47">
            <v>43532</v>
          </cell>
          <cell r="H47">
            <v>2.3768347826085279E-3</v>
          </cell>
        </row>
        <row r="48">
          <cell r="A48">
            <v>43535</v>
          </cell>
          <cell r="H48">
            <v>3.4642229260488655E-2</v>
          </cell>
        </row>
        <row r="49">
          <cell r="A49">
            <v>43536</v>
          </cell>
          <cell r="H49">
            <v>1.1235394577323365E-2</v>
          </cell>
        </row>
        <row r="50">
          <cell r="A50">
            <v>43537</v>
          </cell>
          <cell r="H50">
            <v>4.4221103438812914E-3</v>
          </cell>
        </row>
        <row r="51">
          <cell r="A51">
            <v>43538</v>
          </cell>
          <cell r="H51">
            <v>1.1116547856846681E-2</v>
          </cell>
        </row>
        <row r="52">
          <cell r="A52">
            <v>43539</v>
          </cell>
          <cell r="H52">
            <v>1.3008218864817289E-2</v>
          </cell>
        </row>
        <row r="53">
          <cell r="A53">
            <v>43542</v>
          </cell>
          <cell r="H53">
            <v>1.0208510857694364E-2</v>
          </cell>
        </row>
        <row r="54">
          <cell r="A54">
            <v>43543</v>
          </cell>
          <cell r="H54">
            <v>-7.9247099686264866E-3</v>
          </cell>
        </row>
        <row r="55">
          <cell r="A55">
            <v>43544</v>
          </cell>
          <cell r="H55">
            <v>8.7385621615825304E-3</v>
          </cell>
        </row>
        <row r="56">
          <cell r="A56">
            <v>43545</v>
          </cell>
          <cell r="H56">
            <v>3.6830313842893148E-2</v>
          </cell>
        </row>
        <row r="57">
          <cell r="A57">
            <v>43546</v>
          </cell>
          <cell r="H57">
            <v>-2.0708350416901999E-2</v>
          </cell>
        </row>
        <row r="58">
          <cell r="A58">
            <v>43549</v>
          </cell>
          <cell r="H58">
            <v>-1.2091075381500671E-2</v>
          </cell>
        </row>
        <row r="59">
          <cell r="A59">
            <v>43550</v>
          </cell>
          <cell r="H59">
            <v>-1.0331736561794203E-2</v>
          </cell>
        </row>
        <row r="60">
          <cell r="A60">
            <v>43551</v>
          </cell>
          <cell r="H60">
            <v>8.9941007117768645E-3</v>
          </cell>
        </row>
        <row r="61">
          <cell r="A61">
            <v>43552</v>
          </cell>
          <cell r="H61">
            <v>1.3264710564016013E-3</v>
          </cell>
        </row>
        <row r="62">
          <cell r="A62">
            <v>43553</v>
          </cell>
          <cell r="H62">
            <v>6.517571004662992E-3</v>
          </cell>
        </row>
        <row r="63">
          <cell r="A63">
            <v>43556</v>
          </cell>
          <cell r="H63">
            <v>6.7913031174793304E-3</v>
          </cell>
        </row>
        <row r="64">
          <cell r="A64">
            <v>43557</v>
          </cell>
          <cell r="H64">
            <v>1.4536707497663448E-2</v>
          </cell>
        </row>
        <row r="65">
          <cell r="A65">
            <v>43558</v>
          </cell>
          <cell r="H65">
            <v>6.8549838809404129E-3</v>
          </cell>
        </row>
        <row r="66">
          <cell r="A66">
            <v>43559</v>
          </cell>
          <cell r="H66">
            <v>1.7404452832168182E-3</v>
          </cell>
        </row>
        <row r="67">
          <cell r="A67">
            <v>43560</v>
          </cell>
          <cell r="H67">
            <v>6.6942407543719717E-3</v>
          </cell>
        </row>
        <row r="68">
          <cell r="A68">
            <v>43563</v>
          </cell>
          <cell r="H68">
            <v>1.5736081218274078E-2</v>
          </cell>
        </row>
        <row r="69">
          <cell r="A69">
            <v>43564</v>
          </cell>
          <cell r="H69">
            <v>-2.9985406097534639E-3</v>
          </cell>
        </row>
        <row r="70">
          <cell r="A70">
            <v>43565</v>
          </cell>
          <cell r="H70">
            <v>5.6140150375938447E-3</v>
          </cell>
        </row>
        <row r="71">
          <cell r="A71">
            <v>43566</v>
          </cell>
          <cell r="H71">
            <v>-8.3241951614831944E-3</v>
          </cell>
        </row>
        <row r="72">
          <cell r="A72">
            <v>43567</v>
          </cell>
          <cell r="H72">
            <v>-4.0211109127141764E-4</v>
          </cell>
        </row>
        <row r="73">
          <cell r="A73">
            <v>43570</v>
          </cell>
          <cell r="H73">
            <v>1.8102278234068958E-3</v>
          </cell>
        </row>
        <row r="74">
          <cell r="A74">
            <v>43571</v>
          </cell>
          <cell r="H74">
            <v>1.0040656729226605E-4</v>
          </cell>
        </row>
        <row r="75">
          <cell r="A75">
            <v>43572</v>
          </cell>
          <cell r="H75">
            <v>1.9473043914680188E-2</v>
          </cell>
        </row>
        <row r="76">
          <cell r="A76">
            <v>43573</v>
          </cell>
          <cell r="H76">
            <v>3.5937379295281069E-3</v>
          </cell>
        </row>
        <row r="77">
          <cell r="A77">
            <v>43577</v>
          </cell>
          <cell r="H77">
            <v>3.2865692141665903E-3</v>
          </cell>
        </row>
        <row r="78">
          <cell r="A78">
            <v>43578</v>
          </cell>
          <cell r="H78">
            <v>1.4423292426538836E-2</v>
          </cell>
        </row>
        <row r="79">
          <cell r="A79">
            <v>43579</v>
          </cell>
          <cell r="H79">
            <v>-1.5422788035913682E-3</v>
          </cell>
        </row>
        <row r="80">
          <cell r="A80">
            <v>43580</v>
          </cell>
          <cell r="H80">
            <v>-9.0751301588118949E-3</v>
          </cell>
        </row>
        <row r="81">
          <cell r="A81">
            <v>43581</v>
          </cell>
          <cell r="H81">
            <v>-4.7739477786438167E-3</v>
          </cell>
        </row>
        <row r="82">
          <cell r="A82">
            <v>43584</v>
          </cell>
          <cell r="H82">
            <v>1.5173567984854142E-3</v>
          </cell>
        </row>
        <row r="83">
          <cell r="A83">
            <v>43585</v>
          </cell>
          <cell r="H83">
            <v>-1.9256145838424499E-2</v>
          </cell>
        </row>
        <row r="84">
          <cell r="A84">
            <v>43586</v>
          </cell>
          <cell r="H84">
            <v>4.908558329595869E-2</v>
          </cell>
        </row>
        <row r="85">
          <cell r="A85">
            <v>43587</v>
          </cell>
          <cell r="H85">
            <v>-6.5077521089159651E-3</v>
          </cell>
        </row>
        <row r="86">
          <cell r="A86">
            <v>43588</v>
          </cell>
          <cell r="H86">
            <v>1.2431308149416509E-2</v>
          </cell>
        </row>
        <row r="87">
          <cell r="A87">
            <v>43591</v>
          </cell>
          <cell r="H87">
            <v>-1.5442757969303389E-2</v>
          </cell>
        </row>
        <row r="88">
          <cell r="A88">
            <v>43592</v>
          </cell>
          <cell r="H88">
            <v>-2.6957003587049111E-2</v>
          </cell>
        </row>
        <row r="89">
          <cell r="A89">
            <v>43593</v>
          </cell>
          <cell r="H89">
            <v>1.9714088533961949E-4</v>
          </cell>
        </row>
        <row r="90">
          <cell r="A90">
            <v>43594</v>
          </cell>
          <cell r="H90">
            <v>-1.0744169965270389E-2</v>
          </cell>
        </row>
        <row r="91">
          <cell r="A91">
            <v>43595</v>
          </cell>
          <cell r="H91">
            <v>-1.7636548425667642E-2</v>
          </cell>
        </row>
        <row r="92">
          <cell r="A92">
            <v>43598</v>
          </cell>
          <cell r="H92">
            <v>-5.8119446520719986E-2</v>
          </cell>
        </row>
        <row r="93">
          <cell r="A93">
            <v>43599</v>
          </cell>
          <cell r="H93">
            <v>1.5830303682963454E-2</v>
          </cell>
        </row>
        <row r="94">
          <cell r="A94">
            <v>43600</v>
          </cell>
          <cell r="H94">
            <v>1.1979200424484304E-2</v>
          </cell>
        </row>
        <row r="95">
          <cell r="A95">
            <v>43601</v>
          </cell>
          <cell r="H95">
            <v>-4.3997485857949492E-3</v>
          </cell>
        </row>
        <row r="96">
          <cell r="A96">
            <v>43602</v>
          </cell>
          <cell r="H96">
            <v>-5.6818181818182323E-3</v>
          </cell>
        </row>
        <row r="97">
          <cell r="A97">
            <v>43605</v>
          </cell>
          <cell r="H97">
            <v>-3.1269862433862317E-2</v>
          </cell>
        </row>
        <row r="98">
          <cell r="A98">
            <v>43606</v>
          </cell>
          <cell r="H98">
            <v>1.9170965517963046E-2</v>
          </cell>
        </row>
        <row r="99">
          <cell r="A99">
            <v>43607</v>
          </cell>
          <cell r="H99">
            <v>-2.0471638993713182E-2</v>
          </cell>
        </row>
        <row r="100">
          <cell r="A100">
            <v>43608</v>
          </cell>
          <cell r="H100">
            <v>-1.7069679395995241E-2</v>
          </cell>
        </row>
        <row r="101">
          <cell r="A101">
            <v>43609</v>
          </cell>
          <cell r="H101">
            <v>-3.840609955680474E-3</v>
          </cell>
        </row>
        <row r="102">
          <cell r="A102">
            <v>43613</v>
          </cell>
          <cell r="H102">
            <v>-4.1347935408169167E-3</v>
          </cell>
        </row>
        <row r="103">
          <cell r="A103">
            <v>43614</v>
          </cell>
          <cell r="H103">
            <v>-4.7690737758866453E-3</v>
          </cell>
        </row>
        <row r="104">
          <cell r="A104">
            <v>43615</v>
          </cell>
          <cell r="H104">
            <v>5.1866049117914592E-3</v>
          </cell>
        </row>
        <row r="105">
          <cell r="A105">
            <v>43616</v>
          </cell>
          <cell r="H105">
            <v>-1.8115512773628439E-2</v>
          </cell>
        </row>
        <row r="106">
          <cell r="A106">
            <v>43619</v>
          </cell>
          <cell r="H106">
            <v>-1.0110264003643565E-2</v>
          </cell>
        </row>
        <row r="107">
          <cell r="A107">
            <v>43620</v>
          </cell>
          <cell r="H107">
            <v>3.658393452777986E-2</v>
          </cell>
        </row>
        <row r="108">
          <cell r="A108">
            <v>43621</v>
          </cell>
          <cell r="H108">
            <v>1.614335337341366E-2</v>
          </cell>
        </row>
        <row r="109">
          <cell r="A109">
            <v>43622</v>
          </cell>
          <cell r="H109">
            <v>1.4681758066473316E-2</v>
          </cell>
        </row>
        <row r="110">
          <cell r="A110">
            <v>43623</v>
          </cell>
          <cell r="H110">
            <v>2.6616952812871242E-2</v>
          </cell>
        </row>
        <row r="111">
          <cell r="A111">
            <v>43626</v>
          </cell>
          <cell r="H111">
            <v>1.277942730599757E-2</v>
          </cell>
        </row>
        <row r="112">
          <cell r="A112">
            <v>43627</v>
          </cell>
          <cell r="H112">
            <v>1.1579582511164199E-2</v>
          </cell>
        </row>
        <row r="113">
          <cell r="A113">
            <v>43628</v>
          </cell>
          <cell r="H113">
            <v>-3.1825471625184232E-3</v>
          </cell>
        </row>
        <row r="114">
          <cell r="A114">
            <v>43629</v>
          </cell>
          <cell r="H114">
            <v>-2.0604562117410019E-4</v>
          </cell>
        </row>
        <row r="115">
          <cell r="A115">
            <v>43630</v>
          </cell>
          <cell r="H115">
            <v>-7.2623644506768503E-3</v>
          </cell>
        </row>
        <row r="116">
          <cell r="A116">
            <v>43633</v>
          </cell>
          <cell r="H116">
            <v>5.9665662349990267E-3</v>
          </cell>
        </row>
        <row r="117">
          <cell r="A117">
            <v>43634</v>
          </cell>
          <cell r="H117">
            <v>2.3518469235133344E-2</v>
          </cell>
        </row>
        <row r="118">
          <cell r="A118">
            <v>43635</v>
          </cell>
          <cell r="H118">
            <v>-2.9226506006078123E-3</v>
          </cell>
        </row>
        <row r="119">
          <cell r="A119">
            <v>43636</v>
          </cell>
          <cell r="H119">
            <v>8.0356397237708599E-3</v>
          </cell>
        </row>
        <row r="120">
          <cell r="A120">
            <v>43637</v>
          </cell>
          <cell r="H120">
            <v>-3.4092448246567653E-3</v>
          </cell>
        </row>
        <row r="121">
          <cell r="A121">
            <v>43640</v>
          </cell>
          <cell r="H121">
            <v>-1.0061374383740773E-3</v>
          </cell>
        </row>
        <row r="122">
          <cell r="A122">
            <v>43641</v>
          </cell>
          <cell r="H122">
            <v>-1.5157578809547823E-2</v>
          </cell>
        </row>
        <row r="123">
          <cell r="A123">
            <v>43642</v>
          </cell>
          <cell r="H123">
            <v>2.1629062877575711E-2</v>
          </cell>
        </row>
        <row r="124">
          <cell r="A124">
            <v>43643</v>
          </cell>
          <cell r="H124">
            <v>-3.0030029428829152E-4</v>
          </cell>
        </row>
        <row r="125">
          <cell r="A125">
            <v>43644</v>
          </cell>
          <cell r="H125">
            <v>-9.111865242578121E-3</v>
          </cell>
        </row>
        <row r="126">
          <cell r="A126">
            <v>43647</v>
          </cell>
          <cell r="H126">
            <v>1.8340763945028371E-2</v>
          </cell>
        </row>
        <row r="127">
          <cell r="A127">
            <v>43648</v>
          </cell>
          <cell r="H127">
            <v>5.8545868349375585E-3</v>
          </cell>
        </row>
        <row r="128">
          <cell r="A128">
            <v>43649</v>
          </cell>
          <cell r="H128">
            <v>8.2869236578093641E-3</v>
          </cell>
        </row>
        <row r="129">
          <cell r="A129">
            <v>43651</v>
          </cell>
          <cell r="H129">
            <v>-8.8062226152096912E-4</v>
          </cell>
        </row>
        <row r="130">
          <cell r="A130">
            <v>43654</v>
          </cell>
          <cell r="H130">
            <v>-2.0613974844322036E-2</v>
          </cell>
        </row>
        <row r="131">
          <cell r="A131">
            <v>43655</v>
          </cell>
          <cell r="H131">
            <v>6.0993899390182627E-3</v>
          </cell>
        </row>
        <row r="132">
          <cell r="A132">
            <v>43656</v>
          </cell>
          <cell r="H132">
            <v>9.8886501711656916E-3</v>
          </cell>
        </row>
        <row r="133">
          <cell r="A133">
            <v>43657</v>
          </cell>
          <cell r="H133">
            <v>-7.2823698722112029E-3</v>
          </cell>
        </row>
        <row r="134">
          <cell r="A134">
            <v>43658</v>
          </cell>
          <cell r="H134">
            <v>7.6827955390335045E-3</v>
          </cell>
        </row>
        <row r="135">
          <cell r="A135">
            <v>43661</v>
          </cell>
          <cell r="H135">
            <v>9.3950022745694639E-3</v>
          </cell>
        </row>
        <row r="136">
          <cell r="A136">
            <v>43662</v>
          </cell>
          <cell r="H136">
            <v>-3.4599092262594944E-3</v>
          </cell>
        </row>
        <row r="137">
          <cell r="A137">
            <v>43663</v>
          </cell>
          <cell r="H137">
            <v>-5.6234327628361669E-3</v>
          </cell>
        </row>
        <row r="138">
          <cell r="A138">
            <v>43664</v>
          </cell>
          <cell r="H138">
            <v>1.1359704495315315E-2</v>
          </cell>
        </row>
        <row r="139">
          <cell r="A139">
            <v>43665</v>
          </cell>
          <cell r="H139">
            <v>-1.492758893459889E-2</v>
          </cell>
        </row>
        <row r="140">
          <cell r="A140">
            <v>43668</v>
          </cell>
          <cell r="H140">
            <v>2.2854060375222085E-2</v>
          </cell>
        </row>
        <row r="141">
          <cell r="A141">
            <v>43669</v>
          </cell>
          <cell r="H141">
            <v>7.8177589035808293E-3</v>
          </cell>
        </row>
        <row r="142">
          <cell r="A142">
            <v>43670</v>
          </cell>
          <cell r="H142">
            <v>-8.1400116479612983E-4</v>
          </cell>
        </row>
        <row r="143">
          <cell r="A143">
            <v>43671</v>
          </cell>
          <cell r="H143">
            <v>-7.9072027603391826E-3</v>
          </cell>
        </row>
        <row r="144">
          <cell r="A144">
            <v>43672</v>
          </cell>
          <cell r="H144">
            <v>3.4779247709801897E-3</v>
          </cell>
        </row>
        <row r="145">
          <cell r="A145">
            <v>43675</v>
          </cell>
          <cell r="H145">
            <v>9.3385383780006936E-3</v>
          </cell>
        </row>
        <row r="146">
          <cell r="A146">
            <v>43676</v>
          </cell>
          <cell r="H146">
            <v>-4.2922168749415235E-3</v>
          </cell>
        </row>
        <row r="147">
          <cell r="A147">
            <v>43677</v>
          </cell>
          <cell r="H147">
            <v>2.0404214963119172E-2</v>
          </cell>
        </row>
        <row r="148">
          <cell r="A148">
            <v>43678</v>
          </cell>
          <cell r="H148">
            <v>-2.1639129614687613E-2</v>
          </cell>
        </row>
        <row r="149">
          <cell r="A149">
            <v>43679</v>
          </cell>
          <cell r="H149">
            <v>-2.1158125842081321E-2</v>
          </cell>
        </row>
        <row r="150">
          <cell r="A150">
            <v>43682</v>
          </cell>
          <cell r="H150">
            <v>-5.234784722384378E-2</v>
          </cell>
        </row>
        <row r="151">
          <cell r="A151">
            <v>43683</v>
          </cell>
          <cell r="H151">
            <v>1.8930402791567102E-2</v>
          </cell>
        </row>
        <row r="152">
          <cell r="A152">
            <v>43684</v>
          </cell>
          <cell r="H152">
            <v>1.0355289340101548E-2</v>
          </cell>
        </row>
        <row r="153">
          <cell r="A153">
            <v>43685</v>
          </cell>
          <cell r="H153">
            <v>2.2055869053692501E-2</v>
          </cell>
        </row>
        <row r="154">
          <cell r="A154">
            <v>43686</v>
          </cell>
          <cell r="H154">
            <v>-1.1994239276183039E-2</v>
          </cell>
        </row>
        <row r="155">
          <cell r="A155">
            <v>43689</v>
          </cell>
          <cell r="H155">
            <v>-2.5374794260912825E-3</v>
          </cell>
        </row>
        <row r="156">
          <cell r="A156">
            <v>43690</v>
          </cell>
          <cell r="H156">
            <v>4.2348384723631005E-2</v>
          </cell>
        </row>
        <row r="157">
          <cell r="A157">
            <v>43691</v>
          </cell>
          <cell r="H157">
            <v>-2.9765038043738312E-2</v>
          </cell>
        </row>
        <row r="158">
          <cell r="A158">
            <v>43692</v>
          </cell>
          <cell r="H158">
            <v>-4.9814845869297075E-3</v>
          </cell>
        </row>
        <row r="159">
          <cell r="A159">
            <v>43693</v>
          </cell>
          <cell r="H159">
            <v>2.3594705589477405E-2</v>
          </cell>
        </row>
        <row r="160">
          <cell r="A160">
            <v>43696</v>
          </cell>
          <cell r="H160">
            <v>1.8644106537530236E-2</v>
          </cell>
        </row>
        <row r="161">
          <cell r="A161">
            <v>43697</v>
          </cell>
          <cell r="H161">
            <v>4.7501780936487492E-5</v>
          </cell>
        </row>
        <row r="162">
          <cell r="A162">
            <v>43698</v>
          </cell>
          <cell r="H162">
            <v>1.0838562464346779E-2</v>
          </cell>
        </row>
        <row r="163">
          <cell r="A163">
            <v>43699</v>
          </cell>
          <cell r="H163">
            <v>-8.4646350639583368E-4</v>
          </cell>
        </row>
        <row r="164">
          <cell r="A164">
            <v>43700</v>
          </cell>
          <cell r="H164">
            <v>-4.6220500942464438E-2</v>
          </cell>
        </row>
        <row r="165">
          <cell r="A165">
            <v>43703</v>
          </cell>
          <cell r="H165">
            <v>1.8999230161863556E-2</v>
          </cell>
        </row>
        <row r="166">
          <cell r="A166">
            <v>43704</v>
          </cell>
          <cell r="H166">
            <v>-1.1283839192525846E-2</v>
          </cell>
        </row>
        <row r="167">
          <cell r="A167">
            <v>43705</v>
          </cell>
          <cell r="H167">
            <v>6.7104034735423479E-3</v>
          </cell>
        </row>
        <row r="168">
          <cell r="A168">
            <v>43706</v>
          </cell>
          <cell r="H168">
            <v>1.6931815306767906E-2</v>
          </cell>
        </row>
        <row r="169">
          <cell r="A169">
            <v>43707</v>
          </cell>
          <cell r="H169">
            <v>-1.291765968934766E-3</v>
          </cell>
        </row>
        <row r="170">
          <cell r="A170">
            <v>43711</v>
          </cell>
          <cell r="H170">
            <v>-1.4563609953748946E-2</v>
          </cell>
        </row>
        <row r="171">
          <cell r="A171">
            <v>43712</v>
          </cell>
          <cell r="H171">
            <v>1.6966495225405831E-2</v>
          </cell>
        </row>
        <row r="172">
          <cell r="A172">
            <v>43713</v>
          </cell>
          <cell r="H172">
            <v>1.9551584309927206E-2</v>
          </cell>
        </row>
        <row r="173">
          <cell r="A173">
            <v>43714</v>
          </cell>
          <cell r="H173">
            <v>-9.3792198049502673E-5</v>
          </cell>
        </row>
        <row r="174">
          <cell r="A174">
            <v>43717</v>
          </cell>
          <cell r="H174">
            <v>4.2671106492939703E-3</v>
          </cell>
        </row>
        <row r="175">
          <cell r="A175">
            <v>43718</v>
          </cell>
          <cell r="H175">
            <v>1.1813027034598633E-2</v>
          </cell>
        </row>
        <row r="176">
          <cell r="A176">
            <v>43719</v>
          </cell>
          <cell r="H176">
            <v>3.1795109031750979E-2</v>
          </cell>
        </row>
        <row r="177">
          <cell r="A177">
            <v>43720</v>
          </cell>
          <cell r="H177">
            <v>-2.2362360076253474E-3</v>
          </cell>
        </row>
        <row r="178">
          <cell r="A178">
            <v>43721</v>
          </cell>
          <cell r="H178">
            <v>-1.9454014423847199E-2</v>
          </cell>
        </row>
        <row r="179">
          <cell r="A179">
            <v>43724</v>
          </cell>
          <cell r="H179">
            <v>5.2571062857142969E-3</v>
          </cell>
        </row>
        <row r="180">
          <cell r="A180">
            <v>43725</v>
          </cell>
          <cell r="H180">
            <v>3.6380356030207839E-3</v>
          </cell>
        </row>
        <row r="181">
          <cell r="A181">
            <v>43726</v>
          </cell>
          <cell r="H181">
            <v>9.3792842660496145E-3</v>
          </cell>
        </row>
        <row r="182">
          <cell r="A182">
            <v>43727</v>
          </cell>
          <cell r="H182">
            <v>-8.1249538425290924E-3</v>
          </cell>
        </row>
        <row r="183">
          <cell r="A183">
            <v>43728</v>
          </cell>
          <cell r="H183">
            <v>-1.4618084191959202E-2</v>
          </cell>
        </row>
        <row r="184">
          <cell r="A184">
            <v>43731</v>
          </cell>
          <cell r="H184">
            <v>4.5469343599309209E-3</v>
          </cell>
        </row>
        <row r="185">
          <cell r="A185">
            <v>43732</v>
          </cell>
          <cell r="H185">
            <v>-4.7549743964886426E-3</v>
          </cell>
        </row>
        <row r="186">
          <cell r="A186">
            <v>43733</v>
          </cell>
          <cell r="H186">
            <v>1.5389599977567059E-2</v>
          </cell>
        </row>
        <row r="187">
          <cell r="A187">
            <v>43734</v>
          </cell>
          <cell r="H187">
            <v>-5.1576709044022229E-3</v>
          </cell>
        </row>
        <row r="188">
          <cell r="A188">
            <v>43735</v>
          </cell>
          <cell r="H188">
            <v>-4.8660330165082311E-3</v>
          </cell>
        </row>
        <row r="189">
          <cell r="A189">
            <v>43738</v>
          </cell>
          <cell r="H189">
            <v>2.3535288418415456E-2</v>
          </cell>
        </row>
        <row r="190">
          <cell r="A190">
            <v>43739</v>
          </cell>
          <cell r="H190">
            <v>2.7682100281287703E-3</v>
          </cell>
        </row>
        <row r="191">
          <cell r="A191">
            <v>43740</v>
          </cell>
          <cell r="H191">
            <v>-2.506784852518551E-2</v>
          </cell>
        </row>
        <row r="192">
          <cell r="A192">
            <v>43741</v>
          </cell>
          <cell r="H192">
            <v>8.49470191835211E-3</v>
          </cell>
        </row>
        <row r="193">
          <cell r="A193">
            <v>43742</v>
          </cell>
          <cell r="H193">
            <v>2.8031825811726252E-2</v>
          </cell>
        </row>
        <row r="194">
          <cell r="A194">
            <v>43745</v>
          </cell>
          <cell r="H194">
            <v>2.2025461821528758E-4</v>
          </cell>
        </row>
        <row r="195">
          <cell r="A195">
            <v>43746</v>
          </cell>
          <cell r="H195">
            <v>-1.1714983030300163E-2</v>
          </cell>
        </row>
        <row r="196">
          <cell r="A196">
            <v>43747</v>
          </cell>
          <cell r="H196">
            <v>1.1720178670951098E-2</v>
          </cell>
        </row>
        <row r="197">
          <cell r="A197">
            <v>43748</v>
          </cell>
          <cell r="H197">
            <v>1.3478377306963996E-2</v>
          </cell>
        </row>
        <row r="198">
          <cell r="A198">
            <v>43749</v>
          </cell>
          <cell r="H198">
            <v>2.6598340242484753E-2</v>
          </cell>
        </row>
        <row r="199">
          <cell r="A199">
            <v>43752</v>
          </cell>
          <cell r="H199">
            <v>-1.4394479001076377E-3</v>
          </cell>
        </row>
        <row r="200">
          <cell r="A200">
            <v>43753</v>
          </cell>
          <cell r="H200">
            <v>-2.3317421008477446E-3</v>
          </cell>
        </row>
        <row r="201">
          <cell r="A201">
            <v>43754</v>
          </cell>
          <cell r="H201">
            <v>-4.0371067809925609E-3</v>
          </cell>
        </row>
        <row r="202">
          <cell r="A202">
            <v>43755</v>
          </cell>
          <cell r="H202">
            <v>3.8827666319540821E-3</v>
          </cell>
        </row>
        <row r="203">
          <cell r="A203">
            <v>43756</v>
          </cell>
          <cell r="H203">
            <v>4.8028051683099982E-3</v>
          </cell>
        </row>
        <row r="204">
          <cell r="A204">
            <v>43759</v>
          </cell>
          <cell r="H204">
            <v>1.7342717865695745E-2</v>
          </cell>
        </row>
        <row r="205">
          <cell r="A205">
            <v>43760</v>
          </cell>
          <cell r="H205">
            <v>-2.2867573454202761E-3</v>
          </cell>
        </row>
        <row r="206">
          <cell r="A206">
            <v>43761</v>
          </cell>
          <cell r="H206">
            <v>1.3418836025376413E-2</v>
          </cell>
        </row>
        <row r="207">
          <cell r="A207">
            <v>43762</v>
          </cell>
          <cell r="H207">
            <v>1.6449050627487249E-3</v>
          </cell>
        </row>
        <row r="208">
          <cell r="A208">
            <v>43763</v>
          </cell>
          <cell r="H208">
            <v>1.2316282124969158E-2</v>
          </cell>
        </row>
        <row r="209">
          <cell r="A209">
            <v>43766</v>
          </cell>
          <cell r="H209">
            <v>1.0017049233514541E-2</v>
          </cell>
        </row>
        <row r="210">
          <cell r="A210">
            <v>43767</v>
          </cell>
          <cell r="H210">
            <v>-2.3127933778310572E-2</v>
          </cell>
        </row>
        <row r="211">
          <cell r="A211">
            <v>43768</v>
          </cell>
          <cell r="H211">
            <v>-1.2329319325232735E-4</v>
          </cell>
        </row>
        <row r="212">
          <cell r="A212">
            <v>43769</v>
          </cell>
          <cell r="H212">
            <v>2.2609553935863724E-2</v>
          </cell>
        </row>
        <row r="213">
          <cell r="A213">
            <v>43770</v>
          </cell>
          <cell r="H213">
            <v>2.8380817307940509E-2</v>
          </cell>
        </row>
        <row r="214">
          <cell r="A214">
            <v>43773</v>
          </cell>
          <cell r="H214">
            <v>6.5670860271414E-3</v>
          </cell>
        </row>
        <row r="215">
          <cell r="A215">
            <v>43774</v>
          </cell>
          <cell r="H215">
            <v>-1.4368776699029695E-3</v>
          </cell>
        </row>
        <row r="216">
          <cell r="A216">
            <v>43775</v>
          </cell>
          <cell r="H216">
            <v>4.2775249208171218E-4</v>
          </cell>
        </row>
        <row r="217">
          <cell r="A217">
            <v>43776</v>
          </cell>
          <cell r="H217">
            <v>8.5134507390283165E-3</v>
          </cell>
        </row>
        <row r="218">
          <cell r="A218">
            <v>43777</v>
          </cell>
          <cell r="H218">
            <v>2.7368616655547573E-3</v>
          </cell>
        </row>
        <row r="219">
          <cell r="A219">
            <v>43780</v>
          </cell>
          <cell r="H219">
            <v>7.9187970834906363E-3</v>
          </cell>
        </row>
        <row r="220">
          <cell r="A220">
            <v>43781</v>
          </cell>
          <cell r="H220">
            <v>-9.1540804353595906E-4</v>
          </cell>
        </row>
        <row r="221">
          <cell r="A221">
            <v>43782</v>
          </cell>
          <cell r="H221">
            <v>9.5816463454465595E-3</v>
          </cell>
        </row>
        <row r="222">
          <cell r="A222">
            <v>43783</v>
          </cell>
          <cell r="H222">
            <v>-6.9194388777555904E-3</v>
          </cell>
        </row>
        <row r="223">
          <cell r="A223">
            <v>43784</v>
          </cell>
          <cell r="H223">
            <v>1.1879347433484844E-2</v>
          </cell>
        </row>
        <row r="224">
          <cell r="A224">
            <v>43787</v>
          </cell>
          <cell r="H224">
            <v>5.0421431353959711E-3</v>
          </cell>
        </row>
        <row r="225">
          <cell r="A225">
            <v>43788</v>
          </cell>
          <cell r="H225">
            <v>-3.0325719795560868E-3</v>
          </cell>
        </row>
        <row r="226">
          <cell r="A226">
            <v>43789</v>
          </cell>
          <cell r="H226">
            <v>-1.1641458210478572E-2</v>
          </cell>
        </row>
        <row r="227">
          <cell r="A227">
            <v>43790</v>
          </cell>
          <cell r="H227">
            <v>-4.4834377524457514E-3</v>
          </cell>
        </row>
        <row r="228">
          <cell r="A228">
            <v>43791</v>
          </cell>
          <cell r="H228">
            <v>-8.7785959687480819E-4</v>
          </cell>
        </row>
        <row r="229">
          <cell r="A229">
            <v>43794</v>
          </cell>
          <cell r="H229">
            <v>1.7533791733516768E-2</v>
          </cell>
        </row>
        <row r="230">
          <cell r="A230">
            <v>43795</v>
          </cell>
          <cell r="H230">
            <v>-7.8086422316123727E-3</v>
          </cell>
        </row>
        <row r="231">
          <cell r="A231">
            <v>43796</v>
          </cell>
          <cell r="H231">
            <v>1.3432168801478017E-2</v>
          </cell>
        </row>
        <row r="232">
          <cell r="A232">
            <v>43798</v>
          </cell>
          <cell r="H232">
            <v>-2.2027927449640439E-3</v>
          </cell>
        </row>
        <row r="233">
          <cell r="A233">
            <v>43801</v>
          </cell>
          <cell r="H233">
            <v>-1.1562192703461149E-2</v>
          </cell>
        </row>
        <row r="234">
          <cell r="A234">
            <v>43802</v>
          </cell>
          <cell r="H234">
            <v>-1.7830072413233311E-2</v>
          </cell>
        </row>
        <row r="235">
          <cell r="A235">
            <v>43803</v>
          </cell>
          <cell r="H235">
            <v>8.8262859667933569E-3</v>
          </cell>
        </row>
        <row r="236">
          <cell r="A236">
            <v>43804</v>
          </cell>
          <cell r="H236">
            <v>1.4671032770567471E-2</v>
          </cell>
        </row>
        <row r="237">
          <cell r="A237">
            <v>43805</v>
          </cell>
          <cell r="H237">
            <v>1.931622950446088E-2</v>
          </cell>
        </row>
        <row r="238">
          <cell r="A238">
            <v>43808</v>
          </cell>
          <cell r="H238">
            <v>-1.4000148173326399E-2</v>
          </cell>
        </row>
        <row r="239">
          <cell r="A239">
            <v>43809</v>
          </cell>
          <cell r="H239">
            <v>5.8444475118635264E-3</v>
          </cell>
        </row>
        <row r="240">
          <cell r="A240">
            <v>43810</v>
          </cell>
          <cell r="H240">
            <v>8.5294096306880451E-3</v>
          </cell>
        </row>
        <row r="241">
          <cell r="A241">
            <v>43811</v>
          </cell>
          <cell r="H241">
            <v>2.5483031007114132E-3</v>
          </cell>
        </row>
        <row r="242">
          <cell r="A242">
            <v>43812</v>
          </cell>
          <cell r="H242">
            <v>1.3593163297521915E-2</v>
          </cell>
        </row>
        <row r="243">
          <cell r="A243">
            <v>43815</v>
          </cell>
          <cell r="H243">
            <v>1.7117907094105878E-2</v>
          </cell>
        </row>
        <row r="244">
          <cell r="A244">
            <v>43816</v>
          </cell>
          <cell r="H244">
            <v>1.9653399251249315E-3</v>
          </cell>
        </row>
        <row r="245">
          <cell r="A245">
            <v>43817</v>
          </cell>
          <cell r="H245">
            <v>-2.3894011998232267E-3</v>
          </cell>
        </row>
        <row r="246">
          <cell r="A246">
            <v>43818</v>
          </cell>
          <cell r="H246">
            <v>1.0009151641072744E-3</v>
          </cell>
        </row>
        <row r="247">
          <cell r="A247">
            <v>43819</v>
          </cell>
          <cell r="H247">
            <v>-2.0712235727973205E-3</v>
          </cell>
        </row>
        <row r="248">
          <cell r="A248">
            <v>43822</v>
          </cell>
          <cell r="H248">
            <v>1.631833643976055E-2</v>
          </cell>
        </row>
        <row r="249">
          <cell r="A249">
            <v>43823</v>
          </cell>
          <cell r="H249">
            <v>9.5066197183113488E-4</v>
          </cell>
        </row>
        <row r="250">
          <cell r="A250">
            <v>43825</v>
          </cell>
          <cell r="H250">
            <v>1.984034980154159E-2</v>
          </cell>
        </row>
        <row r="251">
          <cell r="A251">
            <v>43826</v>
          </cell>
          <cell r="H251">
            <v>-3.7948328268111453E-4</v>
          </cell>
        </row>
        <row r="252">
          <cell r="A252">
            <v>43829</v>
          </cell>
          <cell r="H252">
            <v>5.9351279200192675E-3</v>
          </cell>
        </row>
        <row r="253">
          <cell r="A253">
            <v>43830</v>
          </cell>
          <cell r="H253">
            <v>7.3065453062517438E-3</v>
          </cell>
        </row>
        <row r="254">
          <cell r="A254">
            <v>43832</v>
          </cell>
          <cell r="H254">
            <v>2.2816332990058363E-2</v>
          </cell>
        </row>
        <row r="255">
          <cell r="A255">
            <v>43833</v>
          </cell>
          <cell r="H255">
            <v>-9.7220440227189231E-3</v>
          </cell>
        </row>
        <row r="256">
          <cell r="A256">
            <v>43836</v>
          </cell>
          <cell r="H256">
            <v>7.9682482054463932E-3</v>
          </cell>
        </row>
        <row r="257">
          <cell r="A257">
            <v>43837</v>
          </cell>
          <cell r="H257">
            <v>-4.7030422162658292E-3</v>
          </cell>
        </row>
        <row r="258">
          <cell r="A258">
            <v>43838</v>
          </cell>
          <cell r="H258">
            <v>1.6086288892454004E-2</v>
          </cell>
        </row>
        <row r="259">
          <cell r="A259">
            <v>43839</v>
          </cell>
          <cell r="H259">
            <v>2.1240805814956909E-2</v>
          </cell>
        </row>
        <row r="260">
          <cell r="A260">
            <v>43840</v>
          </cell>
          <cell r="H260">
            <v>2.2607111421928394E-3</v>
          </cell>
        </row>
        <row r="261">
          <cell r="A261">
            <v>43843</v>
          </cell>
          <cell r="H261">
            <v>2.1364367790327687E-2</v>
          </cell>
        </row>
        <row r="262">
          <cell r="A262">
            <v>43844</v>
          </cell>
          <cell r="H262">
            <v>-1.3503281511945464E-2</v>
          </cell>
        </row>
        <row r="263">
          <cell r="A263">
            <v>43845</v>
          </cell>
          <cell r="H263">
            <v>-4.2855188508513775E-3</v>
          </cell>
        </row>
        <row r="264">
          <cell r="A264">
            <v>43846</v>
          </cell>
          <cell r="H264">
            <v>1.2526485675165233E-2</v>
          </cell>
        </row>
        <row r="265">
          <cell r="A265">
            <v>43847</v>
          </cell>
          <cell r="H265">
            <v>1.1070993809694007E-2</v>
          </cell>
        </row>
        <row r="266">
          <cell r="A266">
            <v>43851</v>
          </cell>
          <cell r="H266">
            <v>-6.7769080998874021E-3</v>
          </cell>
        </row>
        <row r="267">
          <cell r="A267">
            <v>43852</v>
          </cell>
          <cell r="H267">
            <v>3.5695232379691078E-3</v>
          </cell>
        </row>
        <row r="268">
          <cell r="A268">
            <v>43853</v>
          </cell>
          <cell r="H268">
            <v>4.8158638407604926E-3</v>
          </cell>
        </row>
        <row r="269">
          <cell r="A269">
            <v>43854</v>
          </cell>
          <cell r="H269">
            <v>-2.8819846675317562E-3</v>
          </cell>
        </row>
        <row r="270">
          <cell r="A270">
            <v>43857</v>
          </cell>
          <cell r="H270">
            <v>-2.9405246827372666E-2</v>
          </cell>
        </row>
        <row r="271">
          <cell r="A271">
            <v>43858</v>
          </cell>
          <cell r="H271">
            <v>2.8289340218572212E-2</v>
          </cell>
        </row>
        <row r="272">
          <cell r="A272">
            <v>43859</v>
          </cell>
          <cell r="H272">
            <v>2.0932329995500876E-2</v>
          </cell>
        </row>
        <row r="273">
          <cell r="A273">
            <v>43860</v>
          </cell>
          <cell r="H273">
            <v>-1.4490966448675868E-3</v>
          </cell>
        </row>
        <row r="274">
          <cell r="A274">
            <v>43861</v>
          </cell>
          <cell r="H274">
            <v>-4.4338741400422821E-2</v>
          </cell>
        </row>
        <row r="275">
          <cell r="A275">
            <v>43864</v>
          </cell>
          <cell r="H275">
            <v>-2.7462892249998649E-3</v>
          </cell>
        </row>
        <row r="276">
          <cell r="A276">
            <v>43865</v>
          </cell>
          <cell r="H276">
            <v>3.3013684532965826E-2</v>
          </cell>
        </row>
        <row r="277">
          <cell r="A277">
            <v>43866</v>
          </cell>
          <cell r="H277">
            <v>8.1543168724023118E-3</v>
          </cell>
        </row>
        <row r="278">
          <cell r="A278">
            <v>43867</v>
          </cell>
          <cell r="H278">
            <v>1.1696935323181723E-2</v>
          </cell>
        </row>
        <row r="279">
          <cell r="A279">
            <v>43868</v>
          </cell>
          <cell r="H279">
            <v>-1.5928145282817829E-2</v>
          </cell>
        </row>
        <row r="280">
          <cell r="A280">
            <v>43871</v>
          </cell>
          <cell r="H280">
            <v>4.7495172327594037E-3</v>
          </cell>
        </row>
        <row r="281">
          <cell r="A281">
            <v>43872</v>
          </cell>
          <cell r="H281">
            <v>-6.0332889827381386E-3</v>
          </cell>
        </row>
        <row r="282">
          <cell r="A282">
            <v>43873</v>
          </cell>
          <cell r="H282">
            <v>2.374778129584354E-2</v>
          </cell>
        </row>
        <row r="283">
          <cell r="A283">
            <v>43874</v>
          </cell>
          <cell r="H283">
            <v>-7.1210755334568665E-3</v>
          </cell>
        </row>
        <row r="284">
          <cell r="A284">
            <v>43875</v>
          </cell>
          <cell r="H284">
            <v>2.4630160059468942E-4</v>
          </cell>
        </row>
        <row r="285">
          <cell r="A285">
            <v>43879</v>
          </cell>
          <cell r="H285">
            <v>-1.8310545561697089E-2</v>
          </cell>
        </row>
        <row r="286">
          <cell r="A286">
            <v>43880</v>
          </cell>
          <cell r="H286">
            <v>1.4482746081504683E-2</v>
          </cell>
        </row>
        <row r="287">
          <cell r="A287">
            <v>43881</v>
          </cell>
          <cell r="H287">
            <v>-1.0258970524182454E-2</v>
          </cell>
        </row>
        <row r="288">
          <cell r="A288">
            <v>43882</v>
          </cell>
          <cell r="H288">
            <v>-2.263503050771265E-2</v>
          </cell>
        </row>
        <row r="289">
          <cell r="A289">
            <v>43885</v>
          </cell>
          <cell r="H289">
            <v>-4.7500388340535382E-2</v>
          </cell>
        </row>
        <row r="290">
          <cell r="A290">
            <v>43886</v>
          </cell>
          <cell r="H290">
            <v>-3.3872172080546603E-2</v>
          </cell>
        </row>
        <row r="291">
          <cell r="A291">
            <v>43887</v>
          </cell>
          <cell r="H291">
            <v>1.5863663532226902E-2</v>
          </cell>
        </row>
        <row r="292">
          <cell r="A292">
            <v>43888</v>
          </cell>
          <cell r="H292">
            <v>-6.5368202709535694E-2</v>
          </cell>
        </row>
        <row r="293">
          <cell r="A293">
            <v>43889</v>
          </cell>
          <cell r="H293">
            <v>-5.8498101425774607E-4</v>
          </cell>
        </row>
        <row r="294">
          <cell r="A294">
            <v>43892</v>
          </cell>
          <cell r="H294">
            <v>9.3100722452486018E-2</v>
          </cell>
        </row>
        <row r="295">
          <cell r="A295">
            <v>43893</v>
          </cell>
          <cell r="H295">
            <v>-3.1759272203196409E-2</v>
          </cell>
        </row>
        <row r="296">
          <cell r="A296">
            <v>43894</v>
          </cell>
          <cell r="H296">
            <v>4.6384569434962719E-2</v>
          </cell>
        </row>
        <row r="297">
          <cell r="A297">
            <v>43895</v>
          </cell>
          <cell r="H297">
            <v>-3.2437009511449011E-2</v>
          </cell>
        </row>
        <row r="298">
          <cell r="A298">
            <v>43896</v>
          </cell>
          <cell r="H298">
            <v>-1.3280116894164307E-2</v>
          </cell>
        </row>
        <row r="299">
          <cell r="A299">
            <v>43899</v>
          </cell>
          <cell r="H299">
            <v>-7.9092094246271949E-2</v>
          </cell>
        </row>
        <row r="300">
          <cell r="A300">
            <v>43900</v>
          </cell>
          <cell r="H300">
            <v>7.2021576946091237E-2</v>
          </cell>
        </row>
        <row r="301">
          <cell r="A301">
            <v>43901</v>
          </cell>
          <cell r="H301">
            <v>-3.4730511456234736E-2</v>
          </cell>
        </row>
        <row r="302">
          <cell r="A302">
            <v>43902</v>
          </cell>
          <cell r="H302">
            <v>-9.8754662854581343E-2</v>
          </cell>
        </row>
        <row r="303">
          <cell r="A303">
            <v>43903</v>
          </cell>
          <cell r="H303">
            <v>0.11980826040056836</v>
          </cell>
        </row>
        <row r="304">
          <cell r="A304">
            <v>43906</v>
          </cell>
          <cell r="H304">
            <v>-0.12864694751232164</v>
          </cell>
        </row>
        <row r="305">
          <cell r="A305">
            <v>43907</v>
          </cell>
          <cell r="H305">
            <v>4.3970074101975287E-2</v>
          </cell>
        </row>
        <row r="306">
          <cell r="A306">
            <v>43908</v>
          </cell>
          <cell r="H306">
            <v>-2.4479949379103139E-2</v>
          </cell>
        </row>
        <row r="307">
          <cell r="A307">
            <v>43909</v>
          </cell>
          <cell r="H307">
            <v>-7.6620586208293595E-3</v>
          </cell>
        </row>
        <row r="308">
          <cell r="A308">
            <v>43910</v>
          </cell>
          <cell r="H308">
            <v>-6.3485562545959606E-2</v>
          </cell>
        </row>
        <row r="309">
          <cell r="A309">
            <v>43913</v>
          </cell>
          <cell r="H309">
            <v>-2.1244145502632317E-2</v>
          </cell>
        </row>
        <row r="310">
          <cell r="A310">
            <v>43914</v>
          </cell>
          <cell r="H310">
            <v>0.10032539288363695</v>
          </cell>
        </row>
        <row r="311">
          <cell r="A311">
            <v>43915</v>
          </cell>
          <cell r="H311">
            <v>-5.5087491006360345E-3</v>
          </cell>
        </row>
        <row r="312">
          <cell r="A312">
            <v>43916</v>
          </cell>
          <cell r="H312">
            <v>5.262300337857595E-2</v>
          </cell>
        </row>
        <row r="313">
          <cell r="A313">
            <v>43917</v>
          </cell>
          <cell r="H313">
            <v>-4.1402259071316228E-2</v>
          </cell>
        </row>
        <row r="314">
          <cell r="A314">
            <v>43920</v>
          </cell>
          <cell r="H314">
            <v>2.8537950616970287E-2</v>
          </cell>
        </row>
        <row r="315">
          <cell r="A315">
            <v>43921</v>
          </cell>
          <cell r="H315">
            <v>-2.0407519648483197E-3</v>
          </cell>
        </row>
        <row r="316">
          <cell r="A316">
            <v>43922</v>
          </cell>
          <cell r="H316">
            <v>-5.2617045188314115E-2</v>
          </cell>
        </row>
        <row r="317">
          <cell r="A317">
            <v>43923</v>
          </cell>
          <cell r="H317">
            <v>1.6686679395846227E-2</v>
          </cell>
        </row>
        <row r="318">
          <cell r="A318">
            <v>43924</v>
          </cell>
          <cell r="H318">
            <v>-1.4371404544038069E-2</v>
          </cell>
        </row>
        <row r="319">
          <cell r="A319">
            <v>43927</v>
          </cell>
          <cell r="H319">
            <v>8.7237461791351611E-2</v>
          </cell>
        </row>
        <row r="320">
          <cell r="A320">
            <v>43928</v>
          </cell>
          <cell r="H320">
            <v>-1.158230654931991E-2</v>
          </cell>
        </row>
        <row r="321">
          <cell r="A321">
            <v>43929</v>
          </cell>
          <cell r="H321">
            <v>2.5594635180037129E-2</v>
          </cell>
        </row>
        <row r="322">
          <cell r="A322">
            <v>43930</v>
          </cell>
          <cell r="H322">
            <v>7.2160857754399732E-3</v>
          </cell>
        </row>
        <row r="323">
          <cell r="A323">
            <v>43934</v>
          </cell>
          <cell r="H323">
            <v>1.962762848248456E-2</v>
          </cell>
        </row>
        <row r="324">
          <cell r="A324">
            <v>43935</v>
          </cell>
          <cell r="H324">
            <v>5.0503158279963323E-2</v>
          </cell>
        </row>
        <row r="325">
          <cell r="A325">
            <v>43936</v>
          </cell>
          <cell r="H325">
            <v>-9.1273161802046809E-3</v>
          </cell>
        </row>
        <row r="326">
          <cell r="A326">
            <v>43937</v>
          </cell>
          <cell r="H326">
            <v>7.945758406518344E-3</v>
          </cell>
        </row>
        <row r="327">
          <cell r="A327">
            <v>43938</v>
          </cell>
          <cell r="H327">
            <v>-1.3568718635896371E-2</v>
          </cell>
        </row>
        <row r="328">
          <cell r="A328">
            <v>43941</v>
          </cell>
          <cell r="H328">
            <v>-2.075670526548945E-2</v>
          </cell>
        </row>
        <row r="329">
          <cell r="A329">
            <v>43942</v>
          </cell>
          <cell r="H329">
            <v>-3.0910324801511568E-2</v>
          </cell>
        </row>
        <row r="330">
          <cell r="A330">
            <v>43943</v>
          </cell>
          <cell r="H330">
            <v>2.8803562675463912E-2</v>
          </cell>
        </row>
        <row r="331">
          <cell r="A331">
            <v>43944</v>
          </cell>
          <cell r="H331">
            <v>-3.8754363237831768E-3</v>
          </cell>
        </row>
        <row r="332">
          <cell r="A332">
            <v>43945</v>
          </cell>
          <cell r="H332">
            <v>2.8869577864233165E-2</v>
          </cell>
        </row>
        <row r="333">
          <cell r="A333">
            <v>43948</v>
          </cell>
          <cell r="H333">
            <v>7.0683111283864619E-4</v>
          </cell>
        </row>
        <row r="334">
          <cell r="A334">
            <v>43949</v>
          </cell>
          <cell r="H334">
            <v>-1.6209428278019633E-2</v>
          </cell>
        </row>
        <row r="335">
          <cell r="A335">
            <v>43950</v>
          </cell>
          <cell r="H335">
            <v>3.2845230792385438E-2</v>
          </cell>
        </row>
        <row r="336">
          <cell r="A336">
            <v>43951</v>
          </cell>
          <cell r="H336">
            <v>2.1096082253664994E-2</v>
          </cell>
        </row>
        <row r="337">
          <cell r="A337">
            <v>43952</v>
          </cell>
          <cell r="H337">
            <v>-1.609931992236846E-2</v>
          </cell>
        </row>
        <row r="338">
          <cell r="A338">
            <v>43955</v>
          </cell>
          <cell r="H338">
            <v>1.4148807855569823E-2</v>
          </cell>
        </row>
        <row r="339">
          <cell r="A339">
            <v>43956</v>
          </cell>
          <cell r="H339">
            <v>1.5008841383424176E-2</v>
          </cell>
        </row>
        <row r="340">
          <cell r="A340">
            <v>43957</v>
          </cell>
          <cell r="H340">
            <v>1.0317273965818829E-2</v>
          </cell>
        </row>
        <row r="341">
          <cell r="A341">
            <v>43958</v>
          </cell>
          <cell r="H341">
            <v>1.0344902234043163E-2</v>
          </cell>
        </row>
        <row r="342">
          <cell r="A342">
            <v>43959</v>
          </cell>
          <cell r="H342">
            <v>2.1037769698762698E-2</v>
          </cell>
        </row>
        <row r="343">
          <cell r="A343">
            <v>43962</v>
          </cell>
          <cell r="H343">
            <v>1.5735349489113037E-2</v>
          </cell>
        </row>
        <row r="344">
          <cell r="A344">
            <v>43963</v>
          </cell>
          <cell r="H344">
            <v>-1.142822103607577E-2</v>
          </cell>
        </row>
        <row r="345">
          <cell r="A345">
            <v>43964</v>
          </cell>
          <cell r="H345">
            <v>-1.2074152890733769E-2</v>
          </cell>
        </row>
        <row r="346">
          <cell r="A346">
            <v>43965</v>
          </cell>
          <cell r="H346">
            <v>6.1433968767989899E-3</v>
          </cell>
        </row>
        <row r="347">
          <cell r="A347">
            <v>43966</v>
          </cell>
          <cell r="H347">
            <v>-5.9120499861200493E-3</v>
          </cell>
        </row>
        <row r="348">
          <cell r="A348">
            <v>43969</v>
          </cell>
          <cell r="H348">
            <v>2.3561145846703546E-2</v>
          </cell>
        </row>
        <row r="349">
          <cell r="A349">
            <v>43970</v>
          </cell>
          <cell r="H349">
            <v>-5.7784355036432089E-3</v>
          </cell>
        </row>
        <row r="350">
          <cell r="A350">
            <v>43971</v>
          </cell>
          <cell r="H350">
            <v>1.9448156379988202E-2</v>
          </cell>
        </row>
        <row r="351">
          <cell r="A351">
            <v>43972</v>
          </cell>
          <cell r="H351">
            <v>-7.4554519015586074E-3</v>
          </cell>
        </row>
        <row r="352">
          <cell r="A352">
            <v>43973</v>
          </cell>
          <cell r="H352">
            <v>6.4384028672646032E-3</v>
          </cell>
        </row>
        <row r="353">
          <cell r="A353">
            <v>43977</v>
          </cell>
          <cell r="H353">
            <v>-6.7735077663892973E-3</v>
          </cell>
        </row>
        <row r="354">
          <cell r="A354">
            <v>43978</v>
          </cell>
          <cell r="H354">
            <v>4.356934763731779E-3</v>
          </cell>
        </row>
        <row r="355">
          <cell r="A355">
            <v>43979</v>
          </cell>
          <cell r="H355">
            <v>4.4014965591276933E-4</v>
          </cell>
        </row>
        <row r="356">
          <cell r="A356">
            <v>43980</v>
          </cell>
          <cell r="H356">
            <v>-9.740644147683275E-4</v>
          </cell>
        </row>
        <row r="357">
          <cell r="A357">
            <v>43983</v>
          </cell>
          <cell r="H357">
            <v>1.2297930272404445E-2</v>
          </cell>
        </row>
        <row r="358">
          <cell r="A358">
            <v>43984</v>
          </cell>
          <cell r="H358">
            <v>4.6294483857833857E-3</v>
          </cell>
        </row>
        <row r="359">
          <cell r="A359">
            <v>43985</v>
          </cell>
          <cell r="H359">
            <v>5.5050412012747074E-3</v>
          </cell>
        </row>
        <row r="360">
          <cell r="A360">
            <v>43986</v>
          </cell>
          <cell r="H360">
            <v>-8.6121679209175683E-3</v>
          </cell>
        </row>
        <row r="361">
          <cell r="A361">
            <v>43987</v>
          </cell>
          <cell r="H361">
            <v>2.8480987131273672E-2</v>
          </cell>
        </row>
        <row r="362">
          <cell r="A362">
            <v>43990</v>
          </cell>
          <cell r="H362">
            <v>5.9124947209652223E-3</v>
          </cell>
        </row>
        <row r="363">
          <cell r="A363">
            <v>43991</v>
          </cell>
          <cell r="H363">
            <v>3.1578001117447352E-2</v>
          </cell>
        </row>
        <row r="364">
          <cell r="A364">
            <v>43992</v>
          </cell>
          <cell r="H364">
            <v>2.5727504304834614E-2</v>
          </cell>
        </row>
        <row r="365">
          <cell r="A365">
            <v>43993</v>
          </cell>
          <cell r="H365">
            <v>-4.8010441537359005E-2</v>
          </cell>
        </row>
        <row r="366">
          <cell r="A366">
            <v>43994</v>
          </cell>
          <cell r="H366">
            <v>8.6335101788272972E-3</v>
          </cell>
        </row>
        <row r="367">
          <cell r="A367">
            <v>43997</v>
          </cell>
          <cell r="H367">
            <v>1.2367190520679694E-2</v>
          </cell>
        </row>
        <row r="368">
          <cell r="A368">
            <v>43998</v>
          </cell>
          <cell r="H368">
            <v>2.6502219341723698E-2</v>
          </cell>
        </row>
        <row r="369">
          <cell r="A369">
            <v>43999</v>
          </cell>
          <cell r="H369">
            <v>-1.3917064777906329E-3</v>
          </cell>
        </row>
        <row r="370">
          <cell r="A370">
            <v>44000</v>
          </cell>
          <cell r="H370">
            <v>3.9823658691351405E-4</v>
          </cell>
        </row>
        <row r="371">
          <cell r="A371">
            <v>44001</v>
          </cell>
          <cell r="H371">
            <v>-5.7146445609536078E-3</v>
          </cell>
        </row>
        <row r="372">
          <cell r="A372">
            <v>44004</v>
          </cell>
          <cell r="H372">
            <v>2.616377673567416E-2</v>
          </cell>
        </row>
        <row r="373">
          <cell r="A373">
            <v>44005</v>
          </cell>
          <cell r="H373">
            <v>2.1344788044080243E-2</v>
          </cell>
        </row>
        <row r="374">
          <cell r="A374">
            <v>44006</v>
          </cell>
          <cell r="H374">
            <v>-1.7652044853081472E-2</v>
          </cell>
        </row>
        <row r="375">
          <cell r="A375">
            <v>44007</v>
          </cell>
          <cell r="H375">
            <v>1.3275565331062111E-2</v>
          </cell>
        </row>
        <row r="376">
          <cell r="A376">
            <v>44008</v>
          </cell>
          <cell r="H376">
            <v>-3.0725776019359441E-2</v>
          </cell>
        </row>
        <row r="377">
          <cell r="A377">
            <v>44011</v>
          </cell>
          <cell r="H377">
            <v>2.304667564350682E-2</v>
          </cell>
        </row>
        <row r="378">
          <cell r="A378">
            <v>44012</v>
          </cell>
          <cell r="H378">
            <v>8.3475814030626871E-3</v>
          </cell>
        </row>
        <row r="379">
          <cell r="A379">
            <v>44013</v>
          </cell>
          <cell r="H379">
            <v>-1.8914583955522701E-3</v>
          </cell>
        </row>
        <row r="380">
          <cell r="A380">
            <v>44014</v>
          </cell>
          <cell r="H380">
            <v>0</v>
          </cell>
        </row>
        <row r="381">
          <cell r="A381">
            <v>44018</v>
          </cell>
          <cell r="H381">
            <v>2.6750225008935757E-2</v>
          </cell>
        </row>
        <row r="382">
          <cell r="A382">
            <v>44019</v>
          </cell>
          <cell r="H382">
            <v>-3.1028593692046247E-3</v>
          </cell>
        </row>
        <row r="383">
          <cell r="A383">
            <v>44020</v>
          </cell>
          <cell r="H383">
            <v>2.3290112175909039E-2</v>
          </cell>
        </row>
        <row r="384">
          <cell r="A384">
            <v>44021</v>
          </cell>
          <cell r="H384">
            <v>4.3003173222888602E-3</v>
          </cell>
        </row>
        <row r="385">
          <cell r="A385">
            <v>44022</v>
          </cell>
          <cell r="H385">
            <v>1.7492597739117155E-3</v>
          </cell>
        </row>
        <row r="386">
          <cell r="A386">
            <v>44025</v>
          </cell>
          <cell r="H386">
            <v>-4.6131881695827825E-3</v>
          </cell>
        </row>
        <row r="387">
          <cell r="A387">
            <v>44026</v>
          </cell>
          <cell r="H387">
            <v>1.6548422229861082E-2</v>
          </cell>
        </row>
        <row r="388">
          <cell r="A388">
            <v>44027</v>
          </cell>
          <cell r="H388">
            <v>6.8773147811149737E-3</v>
          </cell>
        </row>
        <row r="389">
          <cell r="A389">
            <v>44028</v>
          </cell>
          <cell r="H389">
            <v>-1.2304927343155359E-2</v>
          </cell>
        </row>
        <row r="390">
          <cell r="A390">
            <v>44029</v>
          </cell>
          <cell r="H390">
            <v>-2.0202543657722449E-3</v>
          </cell>
        </row>
        <row r="391">
          <cell r="A391">
            <v>44032</v>
          </cell>
          <cell r="H391">
            <v>2.1073930301045207E-2</v>
          </cell>
        </row>
        <row r="392">
          <cell r="A392">
            <v>44033</v>
          </cell>
          <cell r="H392">
            <v>-1.3801672750968219E-2</v>
          </cell>
        </row>
        <row r="393">
          <cell r="A393">
            <v>44034</v>
          </cell>
          <cell r="H393">
            <v>2.8092680412370452E-3</v>
          </cell>
        </row>
        <row r="394">
          <cell r="A394">
            <v>44035</v>
          </cell>
          <cell r="H394">
            <v>-4.5516441394190976E-2</v>
          </cell>
        </row>
        <row r="395">
          <cell r="A395">
            <v>44036</v>
          </cell>
          <cell r="H395">
            <v>-2.4772793098466472E-3</v>
          </cell>
        </row>
        <row r="396">
          <cell r="A396">
            <v>44039</v>
          </cell>
          <cell r="H396">
            <v>2.3700265047783997E-2</v>
          </cell>
        </row>
        <row r="397">
          <cell r="A397">
            <v>44040</v>
          </cell>
          <cell r="H397">
            <v>-1.6427550183051198E-2</v>
          </cell>
        </row>
        <row r="398">
          <cell r="A398">
            <v>44041</v>
          </cell>
          <cell r="H398">
            <v>1.9168375771837054E-2</v>
          </cell>
        </row>
        <row r="399">
          <cell r="A399">
            <v>44042</v>
          </cell>
          <cell r="H399">
            <v>1.2100178744737233E-2</v>
          </cell>
        </row>
        <row r="400">
          <cell r="A400">
            <v>44043</v>
          </cell>
          <cell r="H400">
            <v>0.10468863489575542</v>
          </cell>
        </row>
        <row r="401">
          <cell r="A401">
            <v>44046</v>
          </cell>
          <cell r="H401">
            <v>2.5197609162476819E-2</v>
          </cell>
        </row>
        <row r="402">
          <cell r="A402">
            <v>44047</v>
          </cell>
          <cell r="H402">
            <v>6.6781503155479705E-3</v>
          </cell>
        </row>
        <row r="403">
          <cell r="A403">
            <v>44048</v>
          </cell>
          <cell r="H403">
            <v>3.6246659953069749E-3</v>
          </cell>
        </row>
        <row r="404">
          <cell r="A404">
            <v>44049</v>
          </cell>
          <cell r="H404">
            <v>3.4889231118682584E-2</v>
          </cell>
        </row>
        <row r="405">
          <cell r="A405">
            <v>44050</v>
          </cell>
          <cell r="H405">
            <v>-2.4494572972307838E-2</v>
          </cell>
        </row>
        <row r="406">
          <cell r="A406">
            <v>44053</v>
          </cell>
          <cell r="H406">
            <v>1.4534799922561348E-2</v>
          </cell>
        </row>
        <row r="407">
          <cell r="A407">
            <v>44054</v>
          </cell>
          <cell r="H407">
            <v>-2.9739868002573777E-2</v>
          </cell>
        </row>
        <row r="408">
          <cell r="A408">
            <v>44055</v>
          </cell>
          <cell r="H408">
            <v>3.3234304000000048E-2</v>
          </cell>
        </row>
        <row r="409">
          <cell r="A409">
            <v>44056</v>
          </cell>
          <cell r="H409">
            <v>1.769754857627559E-2</v>
          </cell>
        </row>
        <row r="410">
          <cell r="A410">
            <v>44057</v>
          </cell>
          <cell r="H410">
            <v>-8.9123552923686677E-4</v>
          </cell>
        </row>
        <row r="411">
          <cell r="A411">
            <v>44060</v>
          </cell>
          <cell r="H411">
            <v>-2.6108217252065469E-3</v>
          </cell>
        </row>
        <row r="412">
          <cell r="A412">
            <v>44061</v>
          </cell>
          <cell r="H412">
            <v>8.3328055900844245E-3</v>
          </cell>
        </row>
        <row r="413">
          <cell r="A413">
            <v>44062</v>
          </cell>
          <cell r="H413">
            <v>1.2547063277448256E-3</v>
          </cell>
        </row>
        <row r="414">
          <cell r="A414">
            <v>44063</v>
          </cell>
          <cell r="H414">
            <v>2.2189616633051745E-2</v>
          </cell>
        </row>
        <row r="415">
          <cell r="A415">
            <v>44064</v>
          </cell>
          <cell r="H415">
            <v>5.1532453155232139E-2</v>
          </cell>
        </row>
        <row r="416">
          <cell r="A416">
            <v>44067</v>
          </cell>
          <cell r="H416">
            <v>1.1960239319122712E-2</v>
          </cell>
        </row>
        <row r="417">
          <cell r="A417">
            <v>44068</v>
          </cell>
          <cell r="H417">
            <v>-8.2037305397570925E-3</v>
          </cell>
        </row>
        <row r="418">
          <cell r="A418">
            <v>44069</v>
          </cell>
          <cell r="H418">
            <v>1.3599055003381988E-2</v>
          </cell>
        </row>
        <row r="419">
          <cell r="A419">
            <v>44070</v>
          </cell>
          <cell r="H419">
            <v>-1.1954371846544021E-2</v>
          </cell>
        </row>
        <row r="420">
          <cell r="A420">
            <v>44071</v>
          </cell>
          <cell r="H420">
            <v>-1.6198623850913751E-3</v>
          </cell>
        </row>
        <row r="421">
          <cell r="A421">
            <v>44074</v>
          </cell>
          <cell r="H421">
            <v>3.39121438876957E-2</v>
          </cell>
        </row>
        <row r="422">
          <cell r="A422">
            <v>44075</v>
          </cell>
          <cell r="H422">
            <v>3.9832612204186768E-2</v>
          </cell>
        </row>
        <row r="423">
          <cell r="A423">
            <v>44076</v>
          </cell>
          <cell r="H423">
            <v>-2.0718431547391725E-2</v>
          </cell>
        </row>
        <row r="424">
          <cell r="A424">
            <v>44077</v>
          </cell>
          <cell r="H424">
            <v>-8.0060863625305734E-2</v>
          </cell>
        </row>
        <row r="425">
          <cell r="A425">
            <v>44078</v>
          </cell>
          <cell r="H425">
            <v>6.6182993038954585E-4</v>
          </cell>
        </row>
        <row r="426">
          <cell r="A426">
            <v>44082</v>
          </cell>
          <cell r="H426">
            <v>-6.7294965834118425E-2</v>
          </cell>
        </row>
        <row r="427">
          <cell r="A427">
            <v>44083</v>
          </cell>
          <cell r="H427">
            <v>3.9886544938840585E-2</v>
          </cell>
        </row>
        <row r="428">
          <cell r="A428">
            <v>44084</v>
          </cell>
          <cell r="H428">
            <v>-3.2645772246846172E-2</v>
          </cell>
        </row>
        <row r="429">
          <cell r="A429">
            <v>44085</v>
          </cell>
          <cell r="H429">
            <v>-1.3128892644794998E-2</v>
          </cell>
        </row>
        <row r="430">
          <cell r="A430">
            <v>44088</v>
          </cell>
          <cell r="H430">
            <v>3.0000008928571464E-2</v>
          </cell>
        </row>
        <row r="431">
          <cell r="A431">
            <v>44089</v>
          </cell>
          <cell r="H431">
            <v>1.5603328574866904E-3</v>
          </cell>
        </row>
        <row r="432">
          <cell r="A432">
            <v>44090</v>
          </cell>
          <cell r="H432">
            <v>-2.9513622732269207E-2</v>
          </cell>
        </row>
        <row r="433">
          <cell r="A433">
            <v>44091</v>
          </cell>
          <cell r="H433">
            <v>-1.5963623008034222E-2</v>
          </cell>
        </row>
        <row r="434">
          <cell r="A434">
            <v>44092</v>
          </cell>
          <cell r="H434">
            <v>-3.1720138905932171E-2</v>
          </cell>
        </row>
        <row r="435">
          <cell r="A435">
            <v>44095</v>
          </cell>
          <cell r="H435">
            <v>3.0325777997969983E-2</v>
          </cell>
        </row>
        <row r="436">
          <cell r="A436">
            <v>44096</v>
          </cell>
          <cell r="H436">
            <v>1.5715806400512289E-2</v>
          </cell>
        </row>
        <row r="437">
          <cell r="A437">
            <v>44097</v>
          </cell>
          <cell r="H437">
            <v>-4.1946114693607206E-2</v>
          </cell>
        </row>
        <row r="438">
          <cell r="A438">
            <v>44098</v>
          </cell>
          <cell r="H438">
            <v>1.0268838397997415E-2</v>
          </cell>
        </row>
        <row r="439">
          <cell r="A439">
            <v>44099</v>
          </cell>
          <cell r="H439">
            <v>3.7516151935722108E-2</v>
          </cell>
        </row>
        <row r="440">
          <cell r="A440">
            <v>44102</v>
          </cell>
          <cell r="H440">
            <v>2.3868899393203469E-2</v>
          </cell>
        </row>
        <row r="441">
          <cell r="A441">
            <v>44103</v>
          </cell>
          <cell r="H441">
            <v>-7.5678758487114361E-3</v>
          </cell>
        </row>
        <row r="442">
          <cell r="A442">
            <v>44104</v>
          </cell>
          <cell r="H442">
            <v>1.5075835395769399E-2</v>
          </cell>
        </row>
        <row r="443">
          <cell r="A443">
            <v>44105</v>
          </cell>
          <cell r="H443">
            <v>8.4621623083009911E-3</v>
          </cell>
        </row>
        <row r="444">
          <cell r="A444">
            <v>44106</v>
          </cell>
          <cell r="H444">
            <v>-3.2280194945798479E-2</v>
          </cell>
        </row>
        <row r="445">
          <cell r="A445">
            <v>44109</v>
          </cell>
          <cell r="H445">
            <v>3.079103780192094E-2</v>
          </cell>
        </row>
        <row r="446">
          <cell r="A446">
            <v>44110</v>
          </cell>
          <cell r="H446">
            <v>-2.8669493562231807E-2</v>
          </cell>
        </row>
        <row r="447">
          <cell r="A447">
            <v>44111</v>
          </cell>
          <cell r="H447">
            <v>1.69671079191549E-2</v>
          </cell>
        </row>
        <row r="448">
          <cell r="A448">
            <v>44112</v>
          </cell>
          <cell r="H448">
            <v>-9.5586546826786911E-4</v>
          </cell>
        </row>
        <row r="449">
          <cell r="A449">
            <v>44113</v>
          </cell>
          <cell r="H449">
            <v>1.7395842242360349E-2</v>
          </cell>
        </row>
        <row r="450">
          <cell r="A450">
            <v>44116</v>
          </cell>
          <cell r="H450">
            <v>6.3520568833713265E-2</v>
          </cell>
        </row>
        <row r="451">
          <cell r="A451">
            <v>44117</v>
          </cell>
          <cell r="H451">
            <v>-2.6527362917566522E-2</v>
          </cell>
        </row>
        <row r="452">
          <cell r="A452">
            <v>44118</v>
          </cell>
          <cell r="H452">
            <v>7.4322049121766653E-4</v>
          </cell>
        </row>
        <row r="453">
          <cell r="A453">
            <v>44119</v>
          </cell>
          <cell r="H453">
            <v>-3.9607475210703402E-3</v>
          </cell>
        </row>
        <row r="454">
          <cell r="A454">
            <v>44120</v>
          </cell>
          <cell r="H454">
            <v>-1.4000513743687382E-2</v>
          </cell>
        </row>
        <row r="455">
          <cell r="A455">
            <v>44123</v>
          </cell>
          <cell r="H455">
            <v>-2.5541875958877802E-2</v>
          </cell>
        </row>
        <row r="456">
          <cell r="A456">
            <v>44124</v>
          </cell>
          <cell r="H456">
            <v>1.3191920679636482E-2</v>
          </cell>
        </row>
        <row r="457">
          <cell r="A457">
            <v>44125</v>
          </cell>
          <cell r="H457">
            <v>-5.4463363893058059E-3</v>
          </cell>
        </row>
        <row r="458">
          <cell r="A458">
            <v>44126</v>
          </cell>
          <cell r="H458">
            <v>-9.5833231047319778E-3</v>
          </cell>
        </row>
        <row r="459">
          <cell r="A459">
            <v>44127</v>
          </cell>
          <cell r="H459">
            <v>-6.133900647948165E-3</v>
          </cell>
        </row>
        <row r="460">
          <cell r="A460">
            <v>44130</v>
          </cell>
          <cell r="H460">
            <v>8.6943671010475398E-5</v>
          </cell>
        </row>
        <row r="461">
          <cell r="A461">
            <v>44131</v>
          </cell>
          <cell r="H461">
            <v>1.3472359492246122E-2</v>
          </cell>
        </row>
        <row r="462">
          <cell r="A462">
            <v>44132</v>
          </cell>
          <cell r="H462">
            <v>-4.6312187758356549E-2</v>
          </cell>
        </row>
        <row r="463">
          <cell r="A463">
            <v>44133</v>
          </cell>
          <cell r="H463">
            <v>3.7050387690208186E-2</v>
          </cell>
        </row>
        <row r="464">
          <cell r="A464">
            <v>44134</v>
          </cell>
          <cell r="H464">
            <v>-5.601802809573353E-2</v>
          </cell>
        </row>
        <row r="465">
          <cell r="A465">
            <v>44137</v>
          </cell>
          <cell r="H465">
            <v>-8.2678669091684753E-4</v>
          </cell>
        </row>
        <row r="466">
          <cell r="A466">
            <v>44138</v>
          </cell>
          <cell r="H466">
            <v>1.5353544599251867E-2</v>
          </cell>
        </row>
        <row r="467">
          <cell r="A467">
            <v>44139</v>
          </cell>
          <cell r="H467">
            <v>4.0836607373476719E-2</v>
          </cell>
        </row>
        <row r="468">
          <cell r="A468">
            <v>44140</v>
          </cell>
          <cell r="H468">
            <v>3.5493711235155656E-2</v>
          </cell>
        </row>
        <row r="469">
          <cell r="A469">
            <v>44141</v>
          </cell>
          <cell r="H469">
            <v>-2.8563975708342237E-3</v>
          </cell>
        </row>
        <row r="470">
          <cell r="A470">
            <v>44144</v>
          </cell>
          <cell r="H470">
            <v>-1.996800033755175E-2</v>
          </cell>
        </row>
        <row r="471">
          <cell r="A471">
            <v>44145</v>
          </cell>
          <cell r="H471">
            <v>-3.0089322558458642E-3</v>
          </cell>
        </row>
        <row r="472">
          <cell r="A472">
            <v>44146</v>
          </cell>
          <cell r="H472">
            <v>3.0352651286085663E-2</v>
          </cell>
        </row>
        <row r="473">
          <cell r="A473">
            <v>44147</v>
          </cell>
          <cell r="H473">
            <v>-2.3432839960378926E-3</v>
          </cell>
        </row>
        <row r="474">
          <cell r="A474">
            <v>44148</v>
          </cell>
          <cell r="H474">
            <v>4.1945306953650174E-4</v>
          </cell>
        </row>
        <row r="475">
          <cell r="A475">
            <v>44151</v>
          </cell>
          <cell r="H475">
            <v>8.7204509689677856E-3</v>
          </cell>
        </row>
        <row r="476">
          <cell r="A476">
            <v>44152</v>
          </cell>
          <cell r="H476">
            <v>-7.5644553392072433E-3</v>
          </cell>
        </row>
        <row r="477">
          <cell r="A477">
            <v>44153</v>
          </cell>
          <cell r="H477">
            <v>-1.1391238892631161E-2</v>
          </cell>
        </row>
        <row r="478">
          <cell r="A478">
            <v>44154</v>
          </cell>
          <cell r="H478">
            <v>5.1681776257577194E-3</v>
          </cell>
        </row>
        <row r="479">
          <cell r="A479">
            <v>44155</v>
          </cell>
          <cell r="H479">
            <v>-1.0957543922433866E-2</v>
          </cell>
        </row>
        <row r="480">
          <cell r="A480">
            <v>44158</v>
          </cell>
          <cell r="H480">
            <v>-2.9742612229166965E-2</v>
          </cell>
        </row>
        <row r="481">
          <cell r="A481">
            <v>44159</v>
          </cell>
          <cell r="H481">
            <v>1.1594203102225809E-2</v>
          </cell>
        </row>
        <row r="482">
          <cell r="A482">
            <v>44160</v>
          </cell>
          <cell r="H482">
            <v>7.4672311794257151E-3</v>
          </cell>
        </row>
        <row r="483">
          <cell r="A483">
            <v>44162</v>
          </cell>
          <cell r="H483">
            <v>4.826312202243388E-3</v>
          </cell>
        </row>
        <row r="484">
          <cell r="A484">
            <v>44165</v>
          </cell>
          <cell r="H484">
            <v>2.1099640487165061E-2</v>
          </cell>
        </row>
        <row r="485">
          <cell r="A485">
            <v>44166</v>
          </cell>
          <cell r="H485">
            <v>3.0827365875832902E-2</v>
          </cell>
        </row>
        <row r="486">
          <cell r="A486">
            <v>44167</v>
          </cell>
          <cell r="H486">
            <v>2.9335152955221044E-3</v>
          </cell>
        </row>
        <row r="487">
          <cell r="A487">
            <v>44168</v>
          </cell>
          <cell r="H487">
            <v>-1.1374715447273198E-3</v>
          </cell>
        </row>
        <row r="488">
          <cell r="A488">
            <v>44169</v>
          </cell>
          <cell r="H488">
            <v>-5.6125100762566271E-3</v>
          </cell>
        </row>
        <row r="489">
          <cell r="A489">
            <v>44172</v>
          </cell>
          <cell r="H489">
            <v>1.2269938650306678E-2</v>
          </cell>
        </row>
        <row r="490">
          <cell r="A490">
            <v>44173</v>
          </cell>
          <cell r="H490">
            <v>5.0908848484849667E-3</v>
          </cell>
        </row>
        <row r="491">
          <cell r="A491">
            <v>44174</v>
          </cell>
          <cell r="H491">
            <v>-2.0903666688462774E-2</v>
          </cell>
        </row>
        <row r="492">
          <cell r="A492">
            <v>44175</v>
          </cell>
          <cell r="H492">
            <v>1.1988824207495696E-2</v>
          </cell>
        </row>
        <row r="493">
          <cell r="A493">
            <v>44176</v>
          </cell>
          <cell r="H493">
            <v>-6.7347777788830943E-3</v>
          </cell>
        </row>
        <row r="494">
          <cell r="A494">
            <v>44179</v>
          </cell>
          <cell r="H494">
            <v>-5.1466790246980088E-3</v>
          </cell>
        </row>
        <row r="495">
          <cell r="A495">
            <v>44180</v>
          </cell>
          <cell r="H495">
            <v>5.0090310807113791E-2</v>
          </cell>
        </row>
        <row r="496">
          <cell r="A496">
            <v>44181</v>
          </cell>
          <cell r="H496">
            <v>-5.4738036942558743E-4</v>
          </cell>
        </row>
        <row r="497">
          <cell r="A497">
            <v>44182</v>
          </cell>
          <cell r="H497">
            <v>6.9634536728495622E-3</v>
          </cell>
        </row>
        <row r="498">
          <cell r="A498">
            <v>44183</v>
          </cell>
          <cell r="H498">
            <v>-1.5850761830243032E-2</v>
          </cell>
        </row>
        <row r="499">
          <cell r="A499">
            <v>44186</v>
          </cell>
          <cell r="H499">
            <v>1.2395325678341118E-2</v>
          </cell>
        </row>
        <row r="500">
          <cell r="A500">
            <v>44187</v>
          </cell>
          <cell r="H500">
            <v>2.8464548965594583E-2</v>
          </cell>
        </row>
        <row r="501">
          <cell r="A501">
            <v>44188</v>
          </cell>
          <cell r="H501">
            <v>-6.9760233933872096E-3</v>
          </cell>
        </row>
        <row r="502">
          <cell r="A502">
            <v>44189</v>
          </cell>
          <cell r="H502">
            <v>7.7122323305924834E-3</v>
          </cell>
        </row>
        <row r="503">
          <cell r="A503">
            <v>44193</v>
          </cell>
          <cell r="H503">
            <v>3.5765711633206632E-2</v>
          </cell>
        </row>
        <row r="504">
          <cell r="A504">
            <v>44194</v>
          </cell>
          <cell r="H504">
            <v>-1.3314850928160871E-2</v>
          </cell>
        </row>
        <row r="505">
          <cell r="A505">
            <v>44195</v>
          </cell>
          <cell r="H505">
            <v>-8.5266852719909636E-3</v>
          </cell>
        </row>
        <row r="506">
          <cell r="A506">
            <v>44196</v>
          </cell>
          <cell r="H506">
            <v>-7.7026547434740911E-3</v>
          </cell>
        </row>
        <row r="507">
          <cell r="A507">
            <v>44200</v>
          </cell>
          <cell r="H507">
            <v>-2.4719255034753917E-2</v>
          </cell>
        </row>
        <row r="508">
          <cell r="A508">
            <v>44201</v>
          </cell>
          <cell r="H508">
            <v>1.2363735032417056E-2</v>
          </cell>
        </row>
        <row r="509">
          <cell r="A509">
            <v>44202</v>
          </cell>
          <cell r="H509">
            <v>-3.3661530938918105E-2</v>
          </cell>
        </row>
        <row r="510">
          <cell r="A510">
            <v>44203</v>
          </cell>
          <cell r="H510">
            <v>3.4123223287886528E-2</v>
          </cell>
        </row>
        <row r="511">
          <cell r="A511">
            <v>44204</v>
          </cell>
          <cell r="H511">
            <v>8.6312634987972814E-3</v>
          </cell>
        </row>
        <row r="512">
          <cell r="A512">
            <v>44207</v>
          </cell>
          <cell r="H512">
            <v>-2.3248821887569382E-2</v>
          </cell>
        </row>
        <row r="513">
          <cell r="A513">
            <v>44208</v>
          </cell>
          <cell r="H513">
            <v>-1.3955109752057382E-3</v>
          </cell>
        </row>
        <row r="514">
          <cell r="A514">
            <v>44209</v>
          </cell>
          <cell r="H514">
            <v>1.6226676640682891E-2</v>
          </cell>
        </row>
        <row r="515">
          <cell r="A515">
            <v>44210</v>
          </cell>
          <cell r="H515">
            <v>-1.5127167966438759E-2</v>
          </cell>
        </row>
        <row r="516">
          <cell r="A516">
            <v>44211</v>
          </cell>
          <cell r="H516">
            <v>-1.3730548018600519E-2</v>
          </cell>
        </row>
        <row r="517">
          <cell r="A517">
            <v>44215</v>
          </cell>
          <cell r="H517">
            <v>5.42711188789613E-3</v>
          </cell>
        </row>
        <row r="518">
          <cell r="A518">
            <v>44216</v>
          </cell>
          <cell r="H518">
            <v>3.2856113074300142E-2</v>
          </cell>
        </row>
        <row r="519">
          <cell r="A519">
            <v>44217</v>
          </cell>
          <cell r="H519">
            <v>3.6658305208348896E-2</v>
          </cell>
        </row>
        <row r="520">
          <cell r="A520">
            <v>44218</v>
          </cell>
          <cell r="H520">
            <v>1.607373478752594E-2</v>
          </cell>
        </row>
        <row r="521">
          <cell r="A521">
            <v>44221</v>
          </cell>
          <cell r="H521">
            <v>2.7683834085087788E-2</v>
          </cell>
        </row>
        <row r="522">
          <cell r="A522">
            <v>44222</v>
          </cell>
          <cell r="H522">
            <v>1.6793031301329808E-3</v>
          </cell>
        </row>
        <row r="523">
          <cell r="A523">
            <v>44223</v>
          </cell>
          <cell r="H523">
            <v>-7.6837522301269612E-3</v>
          </cell>
        </row>
        <row r="524">
          <cell r="A524">
            <v>44224</v>
          </cell>
          <cell r="H524">
            <v>-3.4985232084826512E-2</v>
          </cell>
        </row>
        <row r="525">
          <cell r="A525">
            <v>44225</v>
          </cell>
          <cell r="H525">
            <v>-3.7420593403475033E-2</v>
          </cell>
        </row>
        <row r="526">
          <cell r="A526">
            <v>44228</v>
          </cell>
          <cell r="H526">
            <v>1.6520096122759398E-2</v>
          </cell>
        </row>
        <row r="527">
          <cell r="A527">
            <v>44229</v>
          </cell>
          <cell r="H527">
            <v>6.3367079643410484E-3</v>
          </cell>
        </row>
        <row r="528">
          <cell r="A528">
            <v>44230</v>
          </cell>
          <cell r="H528">
            <v>-7.7783758879037546E-3</v>
          </cell>
        </row>
        <row r="529">
          <cell r="A529">
            <v>44231</v>
          </cell>
          <cell r="H529">
            <v>2.5757779218190446E-2</v>
          </cell>
        </row>
        <row r="530">
          <cell r="A530">
            <v>44232</v>
          </cell>
          <cell r="H530">
            <v>-4.5855157186512896E-3</v>
          </cell>
        </row>
        <row r="531">
          <cell r="A531">
            <v>44235</v>
          </cell>
          <cell r="H531">
            <v>1.0968777821320774E-3</v>
          </cell>
        </row>
        <row r="532">
          <cell r="A532">
            <v>44236</v>
          </cell>
          <cell r="H532">
            <v>-6.573727074027258E-3</v>
          </cell>
        </row>
        <row r="533">
          <cell r="A533">
            <v>44237</v>
          </cell>
          <cell r="H533">
            <v>-4.5584591044210976E-3</v>
          </cell>
        </row>
        <row r="534">
          <cell r="A534">
            <v>44238</v>
          </cell>
          <cell r="H534">
            <v>-1.9203338645418233E-3</v>
          </cell>
        </row>
        <row r="535">
          <cell r="A535">
            <v>44239</v>
          </cell>
          <cell r="H535">
            <v>1.7759934220380469E-3</v>
          </cell>
        </row>
        <row r="536">
          <cell r="A536">
            <v>44243</v>
          </cell>
          <cell r="H536">
            <v>-1.6103960113169835E-2</v>
          </cell>
        </row>
        <row r="537">
          <cell r="A537">
            <v>44244</v>
          </cell>
          <cell r="H537">
            <v>-1.764401204829158E-2</v>
          </cell>
        </row>
        <row r="538">
          <cell r="A538">
            <v>44245</v>
          </cell>
          <cell r="H538">
            <v>-8.6364187904746093E-3</v>
          </cell>
        </row>
        <row r="539">
          <cell r="A539">
            <v>44246</v>
          </cell>
          <cell r="H539">
            <v>1.2334283506745258E-3</v>
          </cell>
        </row>
        <row r="540">
          <cell r="A540">
            <v>44249</v>
          </cell>
          <cell r="H540">
            <v>-2.9798992446253614E-2</v>
          </cell>
        </row>
        <row r="541">
          <cell r="A541">
            <v>44250</v>
          </cell>
          <cell r="H541">
            <v>-1.1111031746031674E-3</v>
          </cell>
        </row>
        <row r="542">
          <cell r="A542">
            <v>44251</v>
          </cell>
          <cell r="H542">
            <v>-4.0521452085480192E-3</v>
          </cell>
        </row>
        <row r="543">
          <cell r="A543">
            <v>44252</v>
          </cell>
          <cell r="H543">
            <v>-3.4782609250620045E-2</v>
          </cell>
        </row>
        <row r="544">
          <cell r="A544">
            <v>44253</v>
          </cell>
          <cell r="H544">
            <v>2.2316224850256194E-3</v>
          </cell>
        </row>
        <row r="545">
          <cell r="A545">
            <v>44256</v>
          </cell>
          <cell r="H545">
            <v>5.3851219629701186E-2</v>
          </cell>
        </row>
        <row r="546">
          <cell r="A546">
            <v>44257</v>
          </cell>
          <cell r="H546">
            <v>-2.0893637836343792E-2</v>
          </cell>
        </row>
        <row r="547">
          <cell r="A547">
            <v>44258</v>
          </cell>
          <cell r="H547">
            <v>-2.4456561114372777E-2</v>
          </cell>
        </row>
        <row r="548">
          <cell r="A548">
            <v>44259</v>
          </cell>
          <cell r="H548">
            <v>-1.5811904240732422E-2</v>
          </cell>
        </row>
        <row r="549">
          <cell r="A549">
            <v>44260</v>
          </cell>
          <cell r="H549">
            <v>1.0738375361817543E-2</v>
          </cell>
        </row>
        <row r="550">
          <cell r="A550">
            <v>44263</v>
          </cell>
          <cell r="H550">
            <v>-4.1673505875037264E-2</v>
          </cell>
        </row>
        <row r="551">
          <cell r="A551">
            <v>44264</v>
          </cell>
          <cell r="H551">
            <v>4.0649664483932035E-2</v>
          </cell>
        </row>
        <row r="552">
          <cell r="A552">
            <v>44265</v>
          </cell>
          <cell r="H552">
            <v>-9.1666779805658072E-3</v>
          </cell>
        </row>
        <row r="553">
          <cell r="A553">
            <v>44266</v>
          </cell>
          <cell r="H553">
            <v>1.6502716706883191E-2</v>
          </cell>
        </row>
        <row r="554">
          <cell r="A554">
            <v>44267</v>
          </cell>
          <cell r="H554">
            <v>-7.6254510300545197E-3</v>
          </cell>
        </row>
        <row r="555">
          <cell r="A555">
            <v>44270</v>
          </cell>
          <cell r="H555">
            <v>2.4456738200914874E-2</v>
          </cell>
        </row>
        <row r="556">
          <cell r="A556">
            <v>44271</v>
          </cell>
          <cell r="H556">
            <v>1.274297947807046E-2</v>
          </cell>
        </row>
        <row r="557">
          <cell r="A557">
            <v>44272</v>
          </cell>
          <cell r="H557">
            <v>-6.4505694035198458E-3</v>
          </cell>
        </row>
        <row r="558">
          <cell r="A558">
            <v>44273</v>
          </cell>
          <cell r="H558">
            <v>-3.3905121290395579E-2</v>
          </cell>
        </row>
        <row r="559">
          <cell r="A559">
            <v>44274</v>
          </cell>
          <cell r="H559">
            <v>-4.4802207291149143E-3</v>
          </cell>
        </row>
        <row r="560">
          <cell r="A560">
            <v>44277</v>
          </cell>
          <cell r="H560">
            <v>2.8335703447549099E-2</v>
          </cell>
        </row>
        <row r="561">
          <cell r="A561">
            <v>44278</v>
          </cell>
          <cell r="H561">
            <v>-6.8887106482592442E-3</v>
          </cell>
        </row>
        <row r="562">
          <cell r="A562">
            <v>44279</v>
          </cell>
          <cell r="H562">
            <v>-1.9993512159347859E-2</v>
          </cell>
        </row>
        <row r="563">
          <cell r="A563">
            <v>44280</v>
          </cell>
          <cell r="H563">
            <v>4.1635441473408807E-3</v>
          </cell>
        </row>
        <row r="564">
          <cell r="A564">
            <v>44281</v>
          </cell>
          <cell r="H564">
            <v>5.1414132230338527E-3</v>
          </cell>
        </row>
        <row r="565">
          <cell r="A565">
            <v>44284</v>
          </cell>
          <cell r="H565">
            <v>1.4850260002066129E-3</v>
          </cell>
        </row>
        <row r="566">
          <cell r="A566">
            <v>44285</v>
          </cell>
          <cell r="H566">
            <v>-1.2274462577431922E-2</v>
          </cell>
        </row>
        <row r="567">
          <cell r="A567">
            <v>44286</v>
          </cell>
          <cell r="H567">
            <v>1.8765637718671568E-2</v>
          </cell>
        </row>
        <row r="568">
          <cell r="A568">
            <v>44287</v>
          </cell>
          <cell r="H568">
            <v>6.9586409012092343E-3</v>
          </cell>
        </row>
        <row r="569">
          <cell r="A569">
            <v>44291</v>
          </cell>
          <cell r="H569">
            <v>2.3577252032520368E-2</v>
          </cell>
        </row>
        <row r="570">
          <cell r="A570">
            <v>44292</v>
          </cell>
          <cell r="H570">
            <v>2.462247776612303E-3</v>
          </cell>
        </row>
        <row r="571">
          <cell r="A571">
            <v>44293</v>
          </cell>
          <cell r="H571">
            <v>1.3390404986850513E-2</v>
          </cell>
        </row>
        <row r="572">
          <cell r="A572">
            <v>44294</v>
          </cell>
          <cell r="H572">
            <v>1.9233768268432261E-2</v>
          </cell>
        </row>
        <row r="573">
          <cell r="A573">
            <v>44295</v>
          </cell>
          <cell r="H573">
            <v>2.0251603097179993E-2</v>
          </cell>
        </row>
        <row r="574">
          <cell r="A574">
            <v>44298</v>
          </cell>
          <cell r="H574">
            <v>-1.3233045112782005E-2</v>
          </cell>
        </row>
        <row r="575">
          <cell r="A575">
            <v>44299</v>
          </cell>
          <cell r="H575">
            <v>2.430652147567347E-2</v>
          </cell>
        </row>
        <row r="576">
          <cell r="A576">
            <v>44300</v>
          </cell>
          <cell r="H576">
            <v>-1.7853114074029564E-2</v>
          </cell>
        </row>
        <row r="577">
          <cell r="A577">
            <v>44301</v>
          </cell>
          <cell r="H577">
            <v>1.8707877139346074E-2</v>
          </cell>
        </row>
        <row r="578">
          <cell r="A578">
            <v>44302</v>
          </cell>
          <cell r="H578">
            <v>-2.5278513011153247E-3</v>
          </cell>
        </row>
        <row r="579">
          <cell r="A579">
            <v>44305</v>
          </cell>
          <cell r="H579">
            <v>5.0685150546061486E-3</v>
          </cell>
        </row>
        <row r="580">
          <cell r="A580">
            <v>44306</v>
          </cell>
          <cell r="H580">
            <v>-1.2829984064965383E-2</v>
          </cell>
        </row>
        <row r="581">
          <cell r="A581">
            <v>44307</v>
          </cell>
          <cell r="H581">
            <v>2.9299000606273218E-3</v>
          </cell>
        </row>
        <row r="582">
          <cell r="A582">
            <v>44308</v>
          </cell>
          <cell r="H582">
            <v>-1.1685378277153657E-2</v>
          </cell>
        </row>
        <row r="583">
          <cell r="A583">
            <v>44309</v>
          </cell>
          <cell r="H583">
            <v>1.8038539972130785E-2</v>
          </cell>
        </row>
        <row r="584">
          <cell r="A584">
            <v>44312</v>
          </cell>
          <cell r="H584">
            <v>2.9779182486193712E-3</v>
          </cell>
        </row>
        <row r="585">
          <cell r="A585">
            <v>44313</v>
          </cell>
          <cell r="H585">
            <v>-2.4495397680408537E-3</v>
          </cell>
        </row>
        <row r="586">
          <cell r="A586">
            <v>44314</v>
          </cell>
          <cell r="H586">
            <v>-6.0272118909679984E-3</v>
          </cell>
        </row>
        <row r="587">
          <cell r="A587">
            <v>44315</v>
          </cell>
          <cell r="H587">
            <v>-7.4865996782969013E-4</v>
          </cell>
        </row>
        <row r="588">
          <cell r="A588">
            <v>44316</v>
          </cell>
          <cell r="H588">
            <v>-1.5133271355507127E-2</v>
          </cell>
        </row>
        <row r="589">
          <cell r="A589">
            <v>44319</v>
          </cell>
          <cell r="H589">
            <v>8.2153198120551441E-3</v>
          </cell>
        </row>
        <row r="590">
          <cell r="A590">
            <v>44320</v>
          </cell>
          <cell r="H590">
            <v>-3.5385508131119403E-2</v>
          </cell>
        </row>
        <row r="591">
          <cell r="A591">
            <v>44321</v>
          </cell>
          <cell r="H591">
            <v>1.9554791076337175E-3</v>
          </cell>
        </row>
        <row r="592">
          <cell r="A592">
            <v>44322</v>
          </cell>
          <cell r="H592">
            <v>1.2802489642350201E-2</v>
          </cell>
        </row>
        <row r="593">
          <cell r="A593">
            <v>44323</v>
          </cell>
          <cell r="H593">
            <v>3.622645150969328E-3</v>
          </cell>
        </row>
        <row r="594">
          <cell r="A594">
            <v>44326</v>
          </cell>
          <cell r="H594">
            <v>-2.5804537434668817E-2</v>
          </cell>
        </row>
        <row r="595">
          <cell r="A595">
            <v>44327</v>
          </cell>
          <cell r="H595">
            <v>-7.4102799749353743E-3</v>
          </cell>
        </row>
        <row r="596">
          <cell r="A596">
            <v>44328</v>
          </cell>
          <cell r="H596">
            <v>-2.4938502900849646E-2</v>
          </cell>
        </row>
        <row r="597">
          <cell r="A597">
            <v>44329</v>
          </cell>
          <cell r="H597">
            <v>1.7919720239139458E-2</v>
          </cell>
        </row>
        <row r="598">
          <cell r="A598">
            <v>44330</v>
          </cell>
          <cell r="H598">
            <v>1.9844730576580538E-2</v>
          </cell>
        </row>
        <row r="599">
          <cell r="A599">
            <v>44333</v>
          </cell>
          <cell r="H599">
            <v>-9.2585329758775314E-3</v>
          </cell>
        </row>
        <row r="600">
          <cell r="A600">
            <v>44334</v>
          </cell>
          <cell r="H600">
            <v>-1.124573559623987E-2</v>
          </cell>
        </row>
        <row r="601">
          <cell r="A601">
            <v>44335</v>
          </cell>
          <cell r="H601">
            <v>-1.2815058274969759E-3</v>
          </cell>
        </row>
        <row r="602">
          <cell r="A602">
            <v>44336</v>
          </cell>
          <cell r="H602">
            <v>2.1012077616294977E-2</v>
          </cell>
        </row>
        <row r="603">
          <cell r="A603">
            <v>44337</v>
          </cell>
          <cell r="H603">
            <v>-1.4767088441867582E-2</v>
          </cell>
        </row>
        <row r="604">
          <cell r="A604">
            <v>44340</v>
          </cell>
          <cell r="H604">
            <v>1.3314183209758301E-2</v>
          </cell>
        </row>
        <row r="605">
          <cell r="A605">
            <v>44341</v>
          </cell>
          <cell r="H605">
            <v>-1.5735326762160717E-3</v>
          </cell>
        </row>
        <row r="606">
          <cell r="A606">
            <v>44342</v>
          </cell>
          <cell r="H606">
            <v>-3.9404254698116592E-4</v>
          </cell>
        </row>
        <row r="607">
          <cell r="A607">
            <v>44343</v>
          </cell>
          <cell r="H607">
            <v>-1.2376815331128332E-2</v>
          </cell>
        </row>
        <row r="608">
          <cell r="A608">
            <v>44344</v>
          </cell>
          <cell r="H608">
            <v>-5.348004512675697E-3</v>
          </cell>
        </row>
        <row r="609">
          <cell r="A609">
            <v>44348</v>
          </cell>
          <cell r="H609">
            <v>-2.6482786080709309E-3</v>
          </cell>
        </row>
        <row r="610">
          <cell r="A610">
            <v>44349</v>
          </cell>
          <cell r="H610">
            <v>6.2761426317681224E-3</v>
          </cell>
        </row>
        <row r="611">
          <cell r="A611">
            <v>44350</v>
          </cell>
          <cell r="H611">
            <v>-1.2154142206207252E-2</v>
          </cell>
        </row>
        <row r="612">
          <cell r="A612">
            <v>44351</v>
          </cell>
          <cell r="H612">
            <v>1.9022162708255186E-2</v>
          </cell>
        </row>
        <row r="613">
          <cell r="A613">
            <v>44354</v>
          </cell>
          <cell r="H613">
            <v>7.9458257839837287E-5</v>
          </cell>
        </row>
        <row r="614">
          <cell r="A614">
            <v>44355</v>
          </cell>
          <cell r="H614">
            <v>6.6719299972688439E-3</v>
          </cell>
        </row>
        <row r="615">
          <cell r="A615">
            <v>44356</v>
          </cell>
          <cell r="H615">
            <v>3.0771580097390672E-3</v>
          </cell>
        </row>
        <row r="616">
          <cell r="A616">
            <v>44357</v>
          </cell>
          <cell r="H616">
            <v>-8.0232519788386858E-3</v>
          </cell>
        </row>
        <row r="617">
          <cell r="A617">
            <v>44358</v>
          </cell>
          <cell r="H617">
            <v>9.8326618838104896E-3</v>
          </cell>
        </row>
        <row r="618">
          <cell r="A618">
            <v>44361</v>
          </cell>
          <cell r="H618">
            <v>2.4577919506524104E-2</v>
          </cell>
        </row>
        <row r="619">
          <cell r="A619">
            <v>44362</v>
          </cell>
          <cell r="H619">
            <v>-6.4377454456697736E-3</v>
          </cell>
        </row>
        <row r="620">
          <cell r="A620">
            <v>44363</v>
          </cell>
          <cell r="H620">
            <v>3.9339324586080693E-3</v>
          </cell>
        </row>
        <row r="621">
          <cell r="A621">
            <v>44364</v>
          </cell>
          <cell r="H621">
            <v>1.2600838076104903E-2</v>
          </cell>
        </row>
        <row r="622">
          <cell r="A622">
            <v>44365</v>
          </cell>
          <cell r="H622">
            <v>-1.00917070387887E-2</v>
          </cell>
        </row>
        <row r="623">
          <cell r="A623">
            <v>44368</v>
          </cell>
          <cell r="H623">
            <v>1.4103908487449468E-2</v>
          </cell>
        </row>
        <row r="624">
          <cell r="A624">
            <v>44369</v>
          </cell>
          <cell r="H624">
            <v>1.2698359500415091E-2</v>
          </cell>
        </row>
        <row r="625">
          <cell r="A625">
            <v>44370</v>
          </cell>
          <cell r="H625">
            <v>-2.0898567574222371E-3</v>
          </cell>
        </row>
        <row r="626">
          <cell r="A626">
            <v>44371</v>
          </cell>
          <cell r="H626">
            <v>-2.1689828459757754E-3</v>
          </cell>
        </row>
        <row r="627">
          <cell r="A627">
            <v>44372</v>
          </cell>
          <cell r="H627">
            <v>-2.2487294131253721E-3</v>
          </cell>
        </row>
        <row r="628">
          <cell r="A628">
            <v>44375</v>
          </cell>
          <cell r="H628">
            <v>1.2545999454992129E-2</v>
          </cell>
        </row>
        <row r="629">
          <cell r="A629">
            <v>44376</v>
          </cell>
          <cell r="H629">
            <v>1.1500244928774661E-2</v>
          </cell>
        </row>
        <row r="630">
          <cell r="A630">
            <v>44377</v>
          </cell>
          <cell r="H630">
            <v>4.6211764890899953E-3</v>
          </cell>
        </row>
        <row r="631">
          <cell r="A631">
            <v>44378</v>
          </cell>
          <cell r="H631">
            <v>2.2634125595510923E-3</v>
          </cell>
        </row>
        <row r="632">
          <cell r="A632">
            <v>44379</v>
          </cell>
          <cell r="H632">
            <v>1.9596437106536246E-2</v>
          </cell>
        </row>
        <row r="633">
          <cell r="A633">
            <v>44383</v>
          </cell>
          <cell r="H633">
            <v>1.4718468826598441E-2</v>
          </cell>
        </row>
        <row r="634">
          <cell r="A634">
            <v>44384</v>
          </cell>
          <cell r="H634">
            <v>1.7955238193064771E-2</v>
          </cell>
        </row>
        <row r="635">
          <cell r="A635">
            <v>44385</v>
          </cell>
          <cell r="H635">
            <v>-9.1997090378505009E-3</v>
          </cell>
        </row>
        <row r="636">
          <cell r="A636">
            <v>44386</v>
          </cell>
          <cell r="H636">
            <v>1.3054984185458585E-2</v>
          </cell>
        </row>
        <row r="637">
          <cell r="A637">
            <v>44389</v>
          </cell>
          <cell r="H637">
            <v>-4.2037143945716782E-3</v>
          </cell>
        </row>
        <row r="638">
          <cell r="A638">
            <v>44390</v>
          </cell>
          <cell r="H638">
            <v>7.8892664359859754E-3</v>
          </cell>
        </row>
        <row r="639">
          <cell r="A639">
            <v>44391</v>
          </cell>
          <cell r="H639">
            <v>2.410048766891304E-2</v>
          </cell>
        </row>
        <row r="640">
          <cell r="A640">
            <v>44392</v>
          </cell>
          <cell r="H640">
            <v>-4.4921087961961037E-3</v>
          </cell>
        </row>
        <row r="641">
          <cell r="A641">
            <v>44393</v>
          </cell>
          <cell r="H641">
            <v>-1.4075950002046089E-2</v>
          </cell>
        </row>
        <row r="642">
          <cell r="A642">
            <v>44396</v>
          </cell>
          <cell r="H642">
            <v>-2.6914420567760167E-2</v>
          </cell>
        </row>
        <row r="643">
          <cell r="A643">
            <v>44397</v>
          </cell>
          <cell r="H643">
            <v>2.5974005461018024E-2</v>
          </cell>
        </row>
        <row r="644">
          <cell r="A644">
            <v>44398</v>
          </cell>
          <cell r="H644">
            <v>-5.1317142031493956E-3</v>
          </cell>
        </row>
        <row r="645">
          <cell r="A645">
            <v>44399</v>
          </cell>
          <cell r="H645">
            <v>9.6286730245671581E-3</v>
          </cell>
        </row>
        <row r="646">
          <cell r="A646">
            <v>44400</v>
          </cell>
          <cell r="H646">
            <v>1.1989066512485103E-2</v>
          </cell>
        </row>
        <row r="647">
          <cell r="A647">
            <v>44403</v>
          </cell>
          <cell r="H647">
            <v>2.8945005774703159E-3</v>
          </cell>
        </row>
        <row r="648">
          <cell r="A648">
            <v>44404</v>
          </cell>
          <cell r="H648">
            <v>-1.4900335092947969E-2</v>
          </cell>
        </row>
        <row r="649">
          <cell r="A649">
            <v>44405</v>
          </cell>
          <cell r="H649">
            <v>-1.2196007026067823E-2</v>
          </cell>
        </row>
        <row r="650">
          <cell r="A650">
            <v>44406</v>
          </cell>
          <cell r="H650">
            <v>4.5523728666676533E-3</v>
          </cell>
        </row>
        <row r="651">
          <cell r="A651">
            <v>44407</v>
          </cell>
          <cell r="H651">
            <v>1.510587760990223E-3</v>
          </cell>
        </row>
        <row r="652">
          <cell r="A652">
            <v>44410</v>
          </cell>
          <cell r="H652">
            <v>-2.3309817473537997E-3</v>
          </cell>
        </row>
        <row r="653">
          <cell r="A653">
            <v>44411</v>
          </cell>
          <cell r="H653">
            <v>1.2644289097188288E-2</v>
          </cell>
        </row>
        <row r="654">
          <cell r="A654">
            <v>44412</v>
          </cell>
          <cell r="H654">
            <v>-2.7823289713468924E-3</v>
          </cell>
        </row>
        <row r="655">
          <cell r="A655">
            <v>44413</v>
          </cell>
          <cell r="H655">
            <v>7.4856075022577961E-4</v>
          </cell>
        </row>
        <row r="656">
          <cell r="A656">
            <v>44414</v>
          </cell>
          <cell r="H656">
            <v>-6.2559432375350887E-3</v>
          </cell>
        </row>
        <row r="657">
          <cell r="A657">
            <v>44417</v>
          </cell>
          <cell r="H657">
            <v>-3.4215820680261189E-4</v>
          </cell>
        </row>
        <row r="658">
          <cell r="A658">
            <v>44418</v>
          </cell>
          <cell r="H658">
            <v>-3.3540284305298984E-3</v>
          </cell>
        </row>
        <row r="659">
          <cell r="A659">
            <v>44419</v>
          </cell>
          <cell r="H659">
            <v>1.7856798714692701E-3</v>
          </cell>
        </row>
        <row r="660">
          <cell r="A660">
            <v>44420</v>
          </cell>
          <cell r="H660">
            <v>2.0773330448557781E-2</v>
          </cell>
        </row>
        <row r="661">
          <cell r="A661">
            <v>44421</v>
          </cell>
          <cell r="H661">
            <v>1.410484259591005E-3</v>
          </cell>
        </row>
        <row r="662">
          <cell r="A662">
            <v>44424</v>
          </cell>
          <cell r="H662">
            <v>1.354788007184915E-2</v>
          </cell>
        </row>
        <row r="663">
          <cell r="A663">
            <v>44425</v>
          </cell>
          <cell r="H663">
            <v>-6.1540036445871804E-3</v>
          </cell>
        </row>
        <row r="664">
          <cell r="A664">
            <v>44426</v>
          </cell>
          <cell r="H664">
            <v>-2.5501038344749372E-2</v>
          </cell>
        </row>
        <row r="665">
          <cell r="A665">
            <v>44427</v>
          </cell>
          <cell r="H665">
            <v>2.3230117359727132E-3</v>
          </cell>
        </row>
        <row r="666">
          <cell r="A666">
            <v>44428</v>
          </cell>
          <cell r="H666">
            <v>1.015681684028924E-2</v>
          </cell>
        </row>
        <row r="667">
          <cell r="A667">
            <v>44431</v>
          </cell>
          <cell r="H667">
            <v>1.0257135970616948E-2</v>
          </cell>
        </row>
        <row r="668">
          <cell r="A668">
            <v>44432</v>
          </cell>
          <cell r="H668">
            <v>-6.0124237386482982E-4</v>
          </cell>
        </row>
        <row r="669">
          <cell r="A669">
            <v>44433</v>
          </cell>
          <cell r="H669">
            <v>-8.4212942260823986E-3</v>
          </cell>
        </row>
        <row r="670">
          <cell r="A670">
            <v>44434</v>
          </cell>
          <cell r="H670">
            <v>-5.5271501379944299E-3</v>
          </cell>
        </row>
        <row r="671">
          <cell r="A671">
            <v>44435</v>
          </cell>
          <cell r="H671">
            <v>7.1845807936292694E-3</v>
          </cell>
        </row>
        <row r="672">
          <cell r="A672">
            <v>44438</v>
          </cell>
          <cell r="H672">
            <v>3.0417152203883413E-2</v>
          </cell>
        </row>
        <row r="673">
          <cell r="A673">
            <v>44439</v>
          </cell>
          <cell r="H673">
            <v>-8.4247194496054334E-3</v>
          </cell>
        </row>
        <row r="674">
          <cell r="A674">
            <v>44440</v>
          </cell>
          <cell r="H674">
            <v>4.4786471121827098E-3</v>
          </cell>
        </row>
        <row r="675">
          <cell r="A675">
            <v>44441</v>
          </cell>
          <cell r="H675">
            <v>7.4749133655140909E-3</v>
          </cell>
        </row>
        <row r="676">
          <cell r="A676">
            <v>44442</v>
          </cell>
          <cell r="H676">
            <v>4.2304524919150044E-3</v>
          </cell>
        </row>
        <row r="677">
          <cell r="A677">
            <v>44446</v>
          </cell>
          <cell r="H677">
            <v>1.5489299763655762E-2</v>
          </cell>
        </row>
        <row r="678">
          <cell r="A678">
            <v>44447</v>
          </cell>
          <cell r="H678">
            <v>-1.0083610822852473E-2</v>
          </cell>
        </row>
        <row r="679">
          <cell r="A679">
            <v>44448</v>
          </cell>
          <cell r="H679">
            <v>-6.7048803642262289E-3</v>
          </cell>
        </row>
        <row r="680">
          <cell r="A680">
            <v>44449</v>
          </cell>
          <cell r="H680">
            <v>-3.3101874266806552E-2</v>
          </cell>
        </row>
        <row r="681">
          <cell r="A681">
            <v>44452</v>
          </cell>
          <cell r="H681">
            <v>3.8934147553641996E-3</v>
          </cell>
        </row>
        <row r="682">
          <cell r="A682">
            <v>44453</v>
          </cell>
          <cell r="H682">
            <v>-9.5620726935058409E-3</v>
          </cell>
        </row>
        <row r="683">
          <cell r="A683">
            <v>44454</v>
          </cell>
          <cell r="H683">
            <v>6.1436945093065187E-3</v>
          </cell>
        </row>
        <row r="684">
          <cell r="A684">
            <v>44455</v>
          </cell>
          <cell r="H684">
            <v>-1.6104542817583223E-3</v>
          </cell>
        </row>
        <row r="685">
          <cell r="A685">
            <v>44456</v>
          </cell>
          <cell r="H685">
            <v>-1.8347974517345378E-2</v>
          </cell>
        </row>
        <row r="686">
          <cell r="A686">
            <v>44459</v>
          </cell>
          <cell r="H686">
            <v>-2.1361057392319083E-2</v>
          </cell>
        </row>
        <row r="687">
          <cell r="A687">
            <v>44460</v>
          </cell>
          <cell r="H687">
            <v>3.4279487417385734E-3</v>
          </cell>
        </row>
        <row r="688">
          <cell r="A688">
            <v>44461</v>
          </cell>
          <cell r="H688">
            <v>1.6872433368939843E-2</v>
          </cell>
        </row>
        <row r="689">
          <cell r="A689">
            <v>44462</v>
          </cell>
          <cell r="H689">
            <v>6.7192043859085615E-3</v>
          </cell>
        </row>
        <row r="690">
          <cell r="A690">
            <v>44463</v>
          </cell>
          <cell r="H690">
            <v>6.1292650530631043E-4</v>
          </cell>
        </row>
        <row r="691">
          <cell r="A691">
            <v>44466</v>
          </cell>
          <cell r="H691">
            <v>-1.0549979724339575E-2</v>
          </cell>
        </row>
        <row r="692">
          <cell r="A692">
            <v>44467</v>
          </cell>
          <cell r="H692">
            <v>-2.3801273433351922E-2</v>
          </cell>
        </row>
        <row r="693">
          <cell r="A693">
            <v>44468</v>
          </cell>
          <cell r="H693">
            <v>6.4829678956250802E-3</v>
          </cell>
        </row>
        <row r="694">
          <cell r="A694">
            <v>44469</v>
          </cell>
          <cell r="H694">
            <v>-9.3117831084257308E-3</v>
          </cell>
        </row>
        <row r="695">
          <cell r="A695">
            <v>44470</v>
          </cell>
          <cell r="H695">
            <v>8.1271660777384458E-3</v>
          </cell>
        </row>
        <row r="696">
          <cell r="A696">
            <v>44473</v>
          </cell>
          <cell r="H696">
            <v>-2.4605644217552514E-2</v>
          </cell>
        </row>
        <row r="697">
          <cell r="A697">
            <v>44474</v>
          </cell>
          <cell r="H697">
            <v>1.4158416085657821E-2</v>
          </cell>
        </row>
        <row r="698">
          <cell r="A698">
            <v>44475</v>
          </cell>
          <cell r="H698">
            <v>6.3071291452969636E-3</v>
          </cell>
        </row>
        <row r="699">
          <cell r="A699">
            <v>44476</v>
          </cell>
          <cell r="H699">
            <v>9.0844577464790355E-3</v>
          </cell>
        </row>
        <row r="700">
          <cell r="A700">
            <v>44477</v>
          </cell>
          <cell r="H700">
            <v>-2.7217462422516325E-3</v>
          </cell>
        </row>
        <row r="701">
          <cell r="A701">
            <v>44480</v>
          </cell>
          <cell r="H701">
            <v>-6.2978309152328382E-4</v>
          </cell>
        </row>
        <row r="702">
          <cell r="A702">
            <v>44481</v>
          </cell>
          <cell r="H702">
            <v>-9.1030251257339101E-3</v>
          </cell>
        </row>
        <row r="703">
          <cell r="A703">
            <v>44482</v>
          </cell>
          <cell r="H703">
            <v>-4.2399195901322573E-3</v>
          </cell>
        </row>
        <row r="704">
          <cell r="A704">
            <v>44483</v>
          </cell>
          <cell r="H704">
            <v>2.022561151868274E-2</v>
          </cell>
        </row>
        <row r="705">
          <cell r="A705">
            <v>44484</v>
          </cell>
          <cell r="H705">
            <v>7.5125280854386745E-3</v>
          </cell>
        </row>
        <row r="706">
          <cell r="A706">
            <v>44487</v>
          </cell>
          <cell r="H706">
            <v>1.1806179558303764E-2</v>
          </cell>
        </row>
        <row r="707">
          <cell r="A707">
            <v>44488</v>
          </cell>
          <cell r="H707">
            <v>1.5080122516271777E-2</v>
          </cell>
        </row>
        <row r="708">
          <cell r="A708">
            <v>44489</v>
          </cell>
          <cell r="H708">
            <v>3.3611186932347437E-3</v>
          </cell>
        </row>
        <row r="709">
          <cell r="A709">
            <v>44490</v>
          </cell>
          <cell r="H709">
            <v>1.4739448436937863E-3</v>
          </cell>
        </row>
        <row r="710">
          <cell r="A710">
            <v>44491</v>
          </cell>
          <cell r="H710">
            <v>-5.2849479605284744E-3</v>
          </cell>
        </row>
        <row r="711">
          <cell r="A711">
            <v>44494</v>
          </cell>
          <cell r="H711">
            <v>-3.3629026382020477E-4</v>
          </cell>
        </row>
        <row r="712">
          <cell r="A712">
            <v>44495</v>
          </cell>
          <cell r="H712">
            <v>4.5748654774950825E-3</v>
          </cell>
        </row>
        <row r="713">
          <cell r="A713">
            <v>44496</v>
          </cell>
          <cell r="H713">
            <v>-3.147609013974928E-3</v>
          </cell>
        </row>
        <row r="714">
          <cell r="A714">
            <v>44497</v>
          </cell>
          <cell r="H714">
            <v>2.4991607994963694E-2</v>
          </cell>
        </row>
        <row r="715">
          <cell r="A715">
            <v>44498</v>
          </cell>
          <cell r="H715">
            <v>-1.8155626092355104E-2</v>
          </cell>
        </row>
        <row r="716">
          <cell r="A716">
            <v>44501</v>
          </cell>
          <cell r="H716">
            <v>-5.6074498209457424E-3</v>
          </cell>
        </row>
        <row r="717">
          <cell r="A717">
            <v>44502</v>
          </cell>
          <cell r="H717">
            <v>7.1159838224228444E-3</v>
          </cell>
        </row>
        <row r="718">
          <cell r="A718">
            <v>44503</v>
          </cell>
          <cell r="H718">
            <v>9.7986999120462936E-3</v>
          </cell>
        </row>
        <row r="719">
          <cell r="A719">
            <v>44504</v>
          </cell>
          <cell r="H719">
            <v>-3.4985674467434835E-3</v>
          </cell>
        </row>
        <row r="720">
          <cell r="A720">
            <v>44505</v>
          </cell>
          <cell r="H720">
            <v>2.1197137331876448E-3</v>
          </cell>
        </row>
        <row r="721">
          <cell r="A721">
            <v>44508</v>
          </cell>
          <cell r="H721">
            <v>-5.552597868539233E-3</v>
          </cell>
        </row>
        <row r="722">
          <cell r="A722">
            <v>44509</v>
          </cell>
          <cell r="H722">
            <v>2.4594256519621105E-3</v>
          </cell>
        </row>
        <row r="723">
          <cell r="A723">
            <v>44510</v>
          </cell>
          <cell r="H723">
            <v>-1.9163185719291764E-2</v>
          </cell>
        </row>
        <row r="724">
          <cell r="A724">
            <v>44511</v>
          </cell>
          <cell r="H724">
            <v>-3.380408374532573E-4</v>
          </cell>
        </row>
        <row r="725">
          <cell r="A725">
            <v>44512</v>
          </cell>
          <cell r="H725">
            <v>1.4336985674477054E-2</v>
          </cell>
        </row>
        <row r="726">
          <cell r="A726">
            <v>44515</v>
          </cell>
          <cell r="H726">
            <v>6.6637773630251473E-5</v>
          </cell>
        </row>
        <row r="727">
          <cell r="A727">
            <v>44516</v>
          </cell>
          <cell r="H727">
            <v>6.6666666666665986E-3</v>
          </cell>
        </row>
        <row r="728">
          <cell r="A728">
            <v>44517</v>
          </cell>
          <cell r="H728">
            <v>1.6490099337748365E-2</v>
          </cell>
        </row>
        <row r="729">
          <cell r="A729">
            <v>44518</v>
          </cell>
          <cell r="H729">
            <v>2.8535994900775519E-2</v>
          </cell>
        </row>
        <row r="730">
          <cell r="A730">
            <v>44519</v>
          </cell>
          <cell r="H730">
            <v>1.6976044117819944E-2</v>
          </cell>
        </row>
        <row r="731">
          <cell r="A731">
            <v>44522</v>
          </cell>
          <cell r="H731">
            <v>2.9274431094217235E-3</v>
          </cell>
        </row>
        <row r="732">
          <cell r="A732">
            <v>44523</v>
          </cell>
          <cell r="H732">
            <v>2.4220593113386535E-3</v>
          </cell>
        </row>
        <row r="733">
          <cell r="A733">
            <v>44524</v>
          </cell>
          <cell r="H733">
            <v>3.2835511236342096E-3</v>
          </cell>
        </row>
        <row r="734">
          <cell r="A734">
            <v>44526</v>
          </cell>
          <cell r="H734">
            <v>-3.1678423716457571E-2</v>
          </cell>
        </row>
        <row r="735">
          <cell r="A735">
            <v>44529</v>
          </cell>
          <cell r="H735">
            <v>2.1873649918674021E-2</v>
          </cell>
        </row>
        <row r="736">
          <cell r="A736">
            <v>44530</v>
          </cell>
          <cell r="H736">
            <v>3.1577620083074853E-2</v>
          </cell>
        </row>
        <row r="737">
          <cell r="A737">
            <v>44531</v>
          </cell>
          <cell r="H737">
            <v>-3.2062854832495269E-3</v>
          </cell>
        </row>
        <row r="738">
          <cell r="A738">
            <v>44532</v>
          </cell>
          <cell r="H738">
            <v>-6.129811103239402E-3</v>
          </cell>
        </row>
        <row r="739">
          <cell r="A739">
            <v>44533</v>
          </cell>
          <cell r="H739">
            <v>-1.1724469092710854E-2</v>
          </cell>
        </row>
        <row r="740">
          <cell r="A740">
            <v>44536</v>
          </cell>
          <cell r="H740">
            <v>2.1502787234374265E-2</v>
          </cell>
        </row>
        <row r="741">
          <cell r="A741">
            <v>44537</v>
          </cell>
          <cell r="H741">
            <v>3.544632078318255E-2</v>
          </cell>
        </row>
        <row r="742">
          <cell r="A742">
            <v>44538</v>
          </cell>
          <cell r="H742">
            <v>2.2783088909227978E-2</v>
          </cell>
        </row>
        <row r="743">
          <cell r="A743">
            <v>44539</v>
          </cell>
          <cell r="H743">
            <v>-2.9700936375360865E-3</v>
          </cell>
        </row>
        <row r="744">
          <cell r="A744">
            <v>44540</v>
          </cell>
          <cell r="H744">
            <v>2.8013285151389455E-2</v>
          </cell>
        </row>
        <row r="745">
          <cell r="A745">
            <v>44543</v>
          </cell>
          <cell r="H745">
            <v>-2.0674238294916214E-2</v>
          </cell>
        </row>
        <row r="746">
          <cell r="A746">
            <v>44544</v>
          </cell>
          <cell r="H746">
            <v>-8.0232329571174876E-3</v>
          </cell>
        </row>
        <row r="747">
          <cell r="A747">
            <v>44545</v>
          </cell>
          <cell r="H747">
            <v>2.8509154723694641E-2</v>
          </cell>
        </row>
        <row r="748">
          <cell r="A748">
            <v>44546</v>
          </cell>
          <cell r="H748">
            <v>-3.9263847641988092E-2</v>
          </cell>
        </row>
        <row r="749">
          <cell r="A749">
            <v>44547</v>
          </cell>
          <cell r="H749">
            <v>-6.5017765732549027E-3</v>
          </cell>
        </row>
        <row r="750">
          <cell r="A750">
            <v>44550</v>
          </cell>
          <cell r="H750">
            <v>-8.1219995800045908E-3</v>
          </cell>
        </row>
        <row r="751">
          <cell r="A751">
            <v>44551</v>
          </cell>
          <cell r="H751">
            <v>1.9086921944035273E-2</v>
          </cell>
        </row>
        <row r="752">
          <cell r="A752">
            <v>44552</v>
          </cell>
          <cell r="H752">
            <v>1.5318769428326107E-2</v>
          </cell>
        </row>
        <row r="753">
          <cell r="A753">
            <v>44553</v>
          </cell>
          <cell r="H753">
            <v>3.643816918946996E-3</v>
          </cell>
        </row>
        <row r="754">
          <cell r="A754">
            <v>44557</v>
          </cell>
          <cell r="H754">
            <v>2.2974829946532882E-2</v>
          </cell>
        </row>
        <row r="755">
          <cell r="A755">
            <v>44558</v>
          </cell>
          <cell r="H755">
            <v>-5.7672544139383275E-3</v>
          </cell>
        </row>
        <row r="756">
          <cell r="A756">
            <v>44559</v>
          </cell>
          <cell r="H756">
            <v>5.0204698262223957E-4</v>
          </cell>
        </row>
        <row r="757">
          <cell r="A757">
            <v>44560</v>
          </cell>
          <cell r="H757">
            <v>-6.5782582623967745E-3</v>
          </cell>
        </row>
        <row r="758">
          <cell r="A758">
            <v>44561</v>
          </cell>
          <cell r="H758">
            <v>-3.5352974781475144E-3</v>
          </cell>
        </row>
        <row r="759">
          <cell r="A759">
            <v>44564</v>
          </cell>
          <cell r="H759">
            <v>2.5004155121759908E-2</v>
          </cell>
        </row>
        <row r="760">
          <cell r="A760">
            <v>44565</v>
          </cell>
          <cell r="H760">
            <v>-1.2691599711323609E-2</v>
          </cell>
        </row>
        <row r="761">
          <cell r="A761">
            <v>44566</v>
          </cell>
          <cell r="H761">
            <v>-2.6599883582635764E-2</v>
          </cell>
        </row>
        <row r="762">
          <cell r="A762">
            <v>44567</v>
          </cell>
          <cell r="H762">
            <v>-1.6693334286454697E-2</v>
          </cell>
        </row>
        <row r="763">
          <cell r="A763">
            <v>44568</v>
          </cell>
          <cell r="H763">
            <v>9.8836046511618925E-4</v>
          </cell>
        </row>
        <row r="764">
          <cell r="A764">
            <v>44571</v>
          </cell>
          <cell r="H764">
            <v>1.1618749045938515E-4</v>
          </cell>
        </row>
        <row r="765">
          <cell r="A765">
            <v>44572</v>
          </cell>
          <cell r="H765">
            <v>1.6783785158443809E-2</v>
          </cell>
        </row>
        <row r="766">
          <cell r="A766">
            <v>44573</v>
          </cell>
          <cell r="H766">
            <v>2.5702364339703632E-3</v>
          </cell>
        </row>
        <row r="767">
          <cell r="A767">
            <v>44574</v>
          </cell>
          <cell r="H767">
            <v>-1.9028069384310786E-2</v>
          </cell>
        </row>
        <row r="768">
          <cell r="A768">
            <v>44575</v>
          </cell>
          <cell r="H768">
            <v>5.1106625807462169E-3</v>
          </cell>
        </row>
        <row r="769">
          <cell r="A769">
            <v>44579</v>
          </cell>
          <cell r="H769">
            <v>-1.8894111444740402E-2</v>
          </cell>
        </row>
        <row r="770">
          <cell r="A770">
            <v>44580</v>
          </cell>
          <cell r="H770">
            <v>-2.1024775835840281E-2</v>
          </cell>
        </row>
        <row r="771">
          <cell r="A771">
            <v>44581</v>
          </cell>
          <cell r="H771">
            <v>-1.034711569144231E-2</v>
          </cell>
        </row>
        <row r="772">
          <cell r="A772">
            <v>44582</v>
          </cell>
          <cell r="H772">
            <v>-1.2765127127990161E-2</v>
          </cell>
        </row>
        <row r="773">
          <cell r="A773">
            <v>44585</v>
          </cell>
          <cell r="H773">
            <v>-4.8642877935031192E-3</v>
          </cell>
        </row>
        <row r="774">
          <cell r="A774">
            <v>44586</v>
          </cell>
          <cell r="H774">
            <v>-1.1384705215465307E-2</v>
          </cell>
        </row>
        <row r="775">
          <cell r="A775">
            <v>44587</v>
          </cell>
          <cell r="H775">
            <v>-5.6325573014937014E-4</v>
          </cell>
        </row>
        <row r="776">
          <cell r="A776">
            <v>44588</v>
          </cell>
          <cell r="H776">
            <v>-2.9432086800273982E-3</v>
          </cell>
        </row>
        <row r="777">
          <cell r="A777">
            <v>44589</v>
          </cell>
          <cell r="H777">
            <v>6.9777671964717625E-2</v>
          </cell>
        </row>
        <row r="778">
          <cell r="A778">
            <v>44592</v>
          </cell>
          <cell r="H778">
            <v>2.6125737965998486E-2</v>
          </cell>
        </row>
        <row r="779">
          <cell r="A779">
            <v>44593</v>
          </cell>
          <cell r="H779">
            <v>-9.7263989571250153E-4</v>
          </cell>
        </row>
        <row r="780">
          <cell r="A780">
            <v>44594</v>
          </cell>
          <cell r="H780">
            <v>7.0442414120368557E-3</v>
          </cell>
        </row>
        <row r="781">
          <cell r="A781">
            <v>44595</v>
          </cell>
          <cell r="H781">
            <v>-1.6719756977246591E-2</v>
          </cell>
        </row>
        <row r="782">
          <cell r="A782">
            <v>44596</v>
          </cell>
          <cell r="H782">
            <v>-2.9496530809596244E-3</v>
          </cell>
        </row>
        <row r="783">
          <cell r="A783">
            <v>44599</v>
          </cell>
          <cell r="H783">
            <v>-4.2345553932047197E-3</v>
          </cell>
        </row>
        <row r="784">
          <cell r="A784">
            <v>44600</v>
          </cell>
          <cell r="H784">
            <v>1.8466724491047026E-2</v>
          </cell>
        </row>
        <row r="785">
          <cell r="A785">
            <v>44601</v>
          </cell>
          <cell r="H785">
            <v>8.2937538375136288E-3</v>
          </cell>
        </row>
        <row r="786">
          <cell r="A786">
            <v>44602</v>
          </cell>
          <cell r="H786">
            <v>-2.3598842884041571E-2</v>
          </cell>
        </row>
        <row r="787">
          <cell r="A787">
            <v>44603</v>
          </cell>
          <cell r="H787">
            <v>-2.0218429590356468E-2</v>
          </cell>
        </row>
        <row r="788">
          <cell r="A788">
            <v>44606</v>
          </cell>
          <cell r="H788">
            <v>1.4231854923103526E-3</v>
          </cell>
        </row>
        <row r="789">
          <cell r="A789">
            <v>44607</v>
          </cell>
          <cell r="H789">
            <v>2.3152462602070711E-2</v>
          </cell>
        </row>
        <row r="790">
          <cell r="A790">
            <v>44608</v>
          </cell>
          <cell r="H790">
            <v>-1.3889114516024703E-3</v>
          </cell>
        </row>
        <row r="791">
          <cell r="A791">
            <v>44609</v>
          </cell>
          <cell r="H791">
            <v>-2.1269185373471111E-2</v>
          </cell>
        </row>
        <row r="792">
          <cell r="A792">
            <v>44610</v>
          </cell>
          <cell r="H792">
            <v>-9.355767131816517E-3</v>
          </cell>
        </row>
        <row r="793">
          <cell r="A793">
            <v>44614</v>
          </cell>
          <cell r="H793">
            <v>-1.7812288981250091E-2</v>
          </cell>
        </row>
        <row r="794">
          <cell r="A794">
            <v>44615</v>
          </cell>
          <cell r="H794">
            <v>-2.5864166376283082E-2</v>
          </cell>
        </row>
        <row r="795">
          <cell r="A795">
            <v>44616</v>
          </cell>
          <cell r="H795">
            <v>1.6680189187472161E-2</v>
          </cell>
        </row>
        <row r="796">
          <cell r="A796">
            <v>44617</v>
          </cell>
          <cell r="H796">
            <v>1.2965472134525369E-2</v>
          </cell>
        </row>
        <row r="797">
          <cell r="A797">
            <v>44620</v>
          </cell>
          <cell r="H797">
            <v>1.6377858063285622E-3</v>
          </cell>
        </row>
        <row r="798">
          <cell r="A798">
            <v>44621</v>
          </cell>
          <cell r="H798">
            <v>-1.1627895216445472E-2</v>
          </cell>
        </row>
        <row r="799">
          <cell r="A799">
            <v>44622</v>
          </cell>
          <cell r="H799">
            <v>2.0588241800028939E-2</v>
          </cell>
        </row>
        <row r="800">
          <cell r="A800">
            <v>44623</v>
          </cell>
          <cell r="H800">
            <v>-1.9812800430029087E-3</v>
          </cell>
        </row>
        <row r="801">
          <cell r="A801">
            <v>44624</v>
          </cell>
          <cell r="H801">
            <v>-1.8408217972886276E-2</v>
          </cell>
        </row>
        <row r="802">
          <cell r="A802">
            <v>44627</v>
          </cell>
          <cell r="H802">
            <v>-2.3717564793988566E-2</v>
          </cell>
        </row>
        <row r="803">
          <cell r="A803">
            <v>44628</v>
          </cell>
          <cell r="H803">
            <v>-1.1676088920098859E-2</v>
          </cell>
        </row>
        <row r="804">
          <cell r="A804">
            <v>44629</v>
          </cell>
          <cell r="H804">
            <v>3.4997427146882254E-2</v>
          </cell>
        </row>
        <row r="805">
          <cell r="A805">
            <v>44630</v>
          </cell>
          <cell r="H805">
            <v>-2.718621099452978E-2</v>
          </cell>
        </row>
        <row r="806">
          <cell r="A806">
            <v>44631</v>
          </cell>
          <cell r="H806">
            <v>-2.3908704922818491E-2</v>
          </cell>
        </row>
        <row r="807">
          <cell r="A807">
            <v>44634</v>
          </cell>
          <cell r="H807">
            <v>-2.6562406167192076E-2</v>
          </cell>
        </row>
        <row r="808">
          <cell r="A808">
            <v>44635</v>
          </cell>
          <cell r="H808">
            <v>2.9677341311822758E-2</v>
          </cell>
        </row>
        <row r="809">
          <cell r="A809">
            <v>44636</v>
          </cell>
          <cell r="H809">
            <v>2.901541115521078E-2</v>
          </cell>
        </row>
        <row r="810">
          <cell r="A810">
            <v>44637</v>
          </cell>
          <cell r="H810">
            <v>6.4540323692969803E-3</v>
          </cell>
        </row>
        <row r="811">
          <cell r="A811">
            <v>44638</v>
          </cell>
          <cell r="H811">
            <v>2.0918945988013471E-2</v>
          </cell>
        </row>
        <row r="812">
          <cell r="A812">
            <v>44641</v>
          </cell>
          <cell r="H812">
            <v>8.5376816328255334E-3</v>
          </cell>
        </row>
        <row r="813">
          <cell r="A813">
            <v>44642</v>
          </cell>
          <cell r="H813">
            <v>2.0800591945803859E-2</v>
          </cell>
        </row>
        <row r="814">
          <cell r="A814">
            <v>44643</v>
          </cell>
          <cell r="H814">
            <v>8.2336212674127829E-3</v>
          </cell>
        </row>
        <row r="815">
          <cell r="A815">
            <v>44644</v>
          </cell>
          <cell r="H815">
            <v>2.2677867582721056E-2</v>
          </cell>
        </row>
        <row r="816">
          <cell r="A816">
            <v>44645</v>
          </cell>
          <cell r="H816">
            <v>3.7340953286684186E-3</v>
          </cell>
        </row>
        <row r="817">
          <cell r="A817">
            <v>44648</v>
          </cell>
          <cell r="H817">
            <v>5.0366586250192302E-3</v>
          </cell>
        </row>
        <row r="818">
          <cell r="A818">
            <v>44649</v>
          </cell>
          <cell r="H818">
            <v>1.9134401396318834E-2</v>
          </cell>
        </row>
        <row r="819">
          <cell r="A819">
            <v>44650</v>
          </cell>
          <cell r="H819">
            <v>-6.6495471247941529E-3</v>
          </cell>
        </row>
        <row r="820">
          <cell r="A820">
            <v>44651</v>
          </cell>
          <cell r="H820">
            <v>-1.777579416603936E-2</v>
          </cell>
        </row>
        <row r="821">
          <cell r="A821">
            <v>44652</v>
          </cell>
          <cell r="H821">
            <v>-1.7181318268247869E-3</v>
          </cell>
        </row>
        <row r="822">
          <cell r="A822">
            <v>44655</v>
          </cell>
          <cell r="H822">
            <v>2.3693442988852453E-2</v>
          </cell>
        </row>
        <row r="823">
          <cell r="A823">
            <v>44656</v>
          </cell>
          <cell r="H823">
            <v>-1.8941963472966061E-2</v>
          </cell>
        </row>
        <row r="824">
          <cell r="A824">
            <v>44657</v>
          </cell>
          <cell r="H824">
            <v>-1.8450794224275091E-2</v>
          </cell>
        </row>
        <row r="825">
          <cell r="A825">
            <v>44658</v>
          </cell>
          <cell r="H825">
            <v>1.8040912319838842E-3</v>
          </cell>
        </row>
        <row r="826">
          <cell r="A826">
            <v>44659</v>
          </cell>
          <cell r="H826">
            <v>-1.1908928848082367E-2</v>
          </cell>
        </row>
        <row r="827">
          <cell r="A827">
            <v>44662</v>
          </cell>
          <cell r="H827">
            <v>-2.5515880428382265E-2</v>
          </cell>
        </row>
        <row r="828">
          <cell r="A828">
            <v>44663</v>
          </cell>
          <cell r="H828">
            <v>1.1523402714932018E-2</v>
          </cell>
        </row>
        <row r="829">
          <cell r="A829">
            <v>44664</v>
          </cell>
          <cell r="H829">
            <v>1.6342538080817537E-2</v>
          </cell>
        </row>
        <row r="830">
          <cell r="A830">
            <v>44665</v>
          </cell>
          <cell r="H830">
            <v>-2.9988269835267589E-2</v>
          </cell>
        </row>
        <row r="831">
          <cell r="A831">
            <v>44669</v>
          </cell>
          <cell r="H831">
            <v>-1.3309093672718708E-3</v>
          </cell>
        </row>
        <row r="832">
          <cell r="A832">
            <v>44670</v>
          </cell>
          <cell r="H832">
            <v>1.4115144491391396E-2</v>
          </cell>
        </row>
        <row r="833">
          <cell r="A833">
            <v>44671</v>
          </cell>
          <cell r="H833">
            <v>-1.0155197496601875E-3</v>
          </cell>
        </row>
        <row r="834">
          <cell r="A834">
            <v>44672</v>
          </cell>
          <cell r="H834">
            <v>-4.8436166918284229E-3</v>
          </cell>
        </row>
        <row r="835">
          <cell r="A835">
            <v>44673</v>
          </cell>
          <cell r="H835">
            <v>-2.7821205718317477E-2</v>
          </cell>
        </row>
        <row r="836">
          <cell r="A836">
            <v>44676</v>
          </cell>
          <cell r="H836">
            <v>6.7372028380023874E-3</v>
          </cell>
        </row>
        <row r="837">
          <cell r="A837">
            <v>44677</v>
          </cell>
          <cell r="H837">
            <v>-3.7328105435655012E-2</v>
          </cell>
        </row>
        <row r="838">
          <cell r="A838">
            <v>44678</v>
          </cell>
          <cell r="H838">
            <v>-1.4668111964257768E-3</v>
          </cell>
        </row>
        <row r="839">
          <cell r="A839">
            <v>44679</v>
          </cell>
          <cell r="H839">
            <v>4.515546837779727E-2</v>
          </cell>
        </row>
        <row r="840">
          <cell r="A840">
            <v>44680</v>
          </cell>
          <cell r="H840">
            <v>-3.6604772895409199E-2</v>
          </cell>
        </row>
        <row r="841">
          <cell r="A841">
            <v>44683</v>
          </cell>
          <cell r="H841">
            <v>1.9664637602205826E-3</v>
          </cell>
        </row>
        <row r="842">
          <cell r="A842">
            <v>44684</v>
          </cell>
          <cell r="H842">
            <v>9.6226192241180009E-3</v>
          </cell>
        </row>
        <row r="843">
          <cell r="A843">
            <v>44685</v>
          </cell>
          <cell r="H843">
            <v>4.1008328091505675E-2</v>
          </cell>
        </row>
        <row r="844">
          <cell r="A844">
            <v>44686</v>
          </cell>
          <cell r="H844">
            <v>-5.5716177431245018E-2</v>
          </cell>
        </row>
        <row r="845">
          <cell r="A845">
            <v>44687</v>
          </cell>
          <cell r="H845">
            <v>3.2531414619343391E-3</v>
          </cell>
        </row>
        <row r="846">
          <cell r="A846">
            <v>44690</v>
          </cell>
          <cell r="H846">
            <v>-3.3189223252728994E-2</v>
          </cell>
        </row>
        <row r="847">
          <cell r="A847">
            <v>44691</v>
          </cell>
          <cell r="H847">
            <v>1.6112041511403996E-2</v>
          </cell>
        </row>
        <row r="848">
          <cell r="A848">
            <v>44692</v>
          </cell>
          <cell r="H848">
            <v>-5.1841274087155331E-2</v>
          </cell>
        </row>
        <row r="849">
          <cell r="A849">
            <v>44693</v>
          </cell>
          <cell r="H849">
            <v>-2.6894211604095553E-2</v>
          </cell>
        </row>
        <row r="850">
          <cell r="A850">
            <v>44694</v>
          </cell>
          <cell r="H850">
            <v>3.1916407574584804E-2</v>
          </cell>
        </row>
        <row r="851">
          <cell r="A851">
            <v>44697</v>
          </cell>
          <cell r="H851">
            <v>-1.0672340352985255E-2</v>
          </cell>
        </row>
        <row r="852">
          <cell r="A852">
            <v>44698</v>
          </cell>
          <cell r="H852">
            <v>2.5422647917813013E-2</v>
          </cell>
        </row>
        <row r="853">
          <cell r="A853">
            <v>44699</v>
          </cell>
          <cell r="H853">
            <v>-5.64191752740828E-2</v>
          </cell>
        </row>
        <row r="854">
          <cell r="A854">
            <v>44700</v>
          </cell>
          <cell r="H854">
            <v>-2.4641392043106447E-2</v>
          </cell>
        </row>
        <row r="855">
          <cell r="A855">
            <v>44701</v>
          </cell>
          <cell r="H855">
            <v>1.747287874162895E-3</v>
          </cell>
        </row>
        <row r="856">
          <cell r="A856">
            <v>44704</v>
          </cell>
          <cell r="H856">
            <v>4.0119232215109601E-2</v>
          </cell>
        </row>
        <row r="857">
          <cell r="A857">
            <v>44705</v>
          </cell>
          <cell r="H857">
            <v>-1.9215987567493653E-2</v>
          </cell>
        </row>
        <row r="858">
          <cell r="A858">
            <v>44706</v>
          </cell>
          <cell r="H858">
            <v>1.1399472703053082E-3</v>
          </cell>
        </row>
        <row r="859">
          <cell r="A859">
            <v>44707</v>
          </cell>
          <cell r="H859">
            <v>2.3199508306305017E-2</v>
          </cell>
        </row>
        <row r="860">
          <cell r="A860">
            <v>44708</v>
          </cell>
          <cell r="H860">
            <v>4.0756711926253297E-2</v>
          </cell>
        </row>
        <row r="861">
          <cell r="A861">
            <v>44712</v>
          </cell>
          <cell r="H861">
            <v>-5.3461842110810176E-3</v>
          </cell>
        </row>
        <row r="862">
          <cell r="A862">
            <v>44713</v>
          </cell>
          <cell r="H862">
            <v>-8.7334724196053148E-4</v>
          </cell>
        </row>
        <row r="863">
          <cell r="A863">
            <v>44714</v>
          </cell>
          <cell r="H863">
            <v>1.6811242568228746E-2</v>
          </cell>
        </row>
        <row r="864">
          <cell r="A864">
            <v>44715</v>
          </cell>
          <cell r="H864">
            <v>-3.855566252304965E-2</v>
          </cell>
        </row>
        <row r="865">
          <cell r="A865">
            <v>44718</v>
          </cell>
          <cell r="H865">
            <v>5.2276377346387459E-3</v>
          </cell>
        </row>
        <row r="866">
          <cell r="A866">
            <v>44719</v>
          </cell>
          <cell r="H866">
            <v>1.7585931419090928E-2</v>
          </cell>
        </row>
        <row r="867">
          <cell r="A867">
            <v>44720</v>
          </cell>
          <cell r="H867">
            <v>-5.0433727704686238E-3</v>
          </cell>
        </row>
        <row r="868">
          <cell r="A868">
            <v>44721</v>
          </cell>
          <cell r="H868">
            <v>-3.5955716060489196E-2</v>
          </cell>
        </row>
        <row r="869">
          <cell r="A869">
            <v>44722</v>
          </cell>
          <cell r="H869">
            <v>-3.8628673854659623E-2</v>
          </cell>
        </row>
        <row r="870">
          <cell r="A870">
            <v>44725</v>
          </cell>
          <cell r="H870">
            <v>-3.8284837807743055E-2</v>
          </cell>
        </row>
        <row r="871">
          <cell r="A871">
            <v>44726</v>
          </cell>
          <cell r="H871">
            <v>6.6726567078914112E-3</v>
          </cell>
        </row>
        <row r="872">
          <cell r="A872">
            <v>44727</v>
          </cell>
          <cell r="H872">
            <v>2.0111465053911592E-2</v>
          </cell>
        </row>
        <row r="873">
          <cell r="A873">
            <v>44728</v>
          </cell>
          <cell r="H873">
            <v>-3.9651445599646395E-2</v>
          </cell>
        </row>
        <row r="874">
          <cell r="A874">
            <v>44729</v>
          </cell>
          <cell r="H874">
            <v>1.1533138728788916E-2</v>
          </cell>
        </row>
        <row r="875">
          <cell r="A875">
            <v>44733</v>
          </cell>
          <cell r="H875">
            <v>3.2760695238076787E-2</v>
          </cell>
        </row>
        <row r="876">
          <cell r="A876">
            <v>44734</v>
          </cell>
          <cell r="H876">
            <v>-3.8271069340951591E-3</v>
          </cell>
        </row>
        <row r="877">
          <cell r="A877">
            <v>44735</v>
          </cell>
          <cell r="H877">
            <v>2.1573682087609125E-2</v>
          </cell>
        </row>
        <row r="878">
          <cell r="A878">
            <v>44736</v>
          </cell>
          <cell r="H878">
            <v>2.4517248151666893E-2</v>
          </cell>
        </row>
        <row r="879">
          <cell r="A879">
            <v>44739</v>
          </cell>
          <cell r="H879">
            <v>0</v>
          </cell>
        </row>
        <row r="880">
          <cell r="A880">
            <v>44740</v>
          </cell>
          <cell r="H880">
            <v>-2.9789650436548021E-2</v>
          </cell>
        </row>
        <row r="881">
          <cell r="A881">
            <v>44741</v>
          </cell>
          <cell r="H881">
            <v>1.3023821114321654E-2</v>
          </cell>
        </row>
        <row r="882">
          <cell r="A882">
            <v>44742</v>
          </cell>
          <cell r="H882">
            <v>-1.8027688516201623E-2</v>
          </cell>
        </row>
        <row r="883">
          <cell r="A883">
            <v>44743</v>
          </cell>
          <cell r="H883">
            <v>1.6164365007574899E-2</v>
          </cell>
        </row>
        <row r="884">
          <cell r="A884">
            <v>44747</v>
          </cell>
          <cell r="H884">
            <v>1.8930433545764291E-2</v>
          </cell>
        </row>
        <row r="885">
          <cell r="A885">
            <v>44748</v>
          </cell>
          <cell r="H885">
            <v>9.6072338175645644E-3</v>
          </cell>
        </row>
        <row r="886">
          <cell r="A886">
            <v>44749</v>
          </cell>
          <cell r="H886">
            <v>2.399949655750766E-2</v>
          </cell>
        </row>
        <row r="887">
          <cell r="A887">
            <v>44750</v>
          </cell>
          <cell r="H887">
            <v>4.7146359529359749E-3</v>
          </cell>
        </row>
        <row r="888">
          <cell r="A888">
            <v>44753</v>
          </cell>
          <cell r="H888">
            <v>-1.4757876110617185E-2</v>
          </cell>
        </row>
        <row r="889">
          <cell r="A889">
            <v>44754</v>
          </cell>
          <cell r="H889">
            <v>6.8337546363552715E-3</v>
          </cell>
        </row>
        <row r="890">
          <cell r="A890">
            <v>44755</v>
          </cell>
          <cell r="H890">
            <v>-2.5366515663195477E-3</v>
          </cell>
        </row>
        <row r="891">
          <cell r="A891">
            <v>44756</v>
          </cell>
          <cell r="H891">
            <v>2.0482479191611835E-2</v>
          </cell>
        </row>
        <row r="892">
          <cell r="A892">
            <v>44757</v>
          </cell>
          <cell r="H892">
            <v>1.1450104321074184E-2</v>
          </cell>
        </row>
        <row r="893">
          <cell r="A893">
            <v>44760</v>
          </cell>
          <cell r="H893">
            <v>-2.0643211302433295E-2</v>
          </cell>
        </row>
        <row r="894">
          <cell r="A894">
            <v>44761</v>
          </cell>
          <cell r="H894">
            <v>2.6721920262096743E-2</v>
          </cell>
        </row>
        <row r="895">
          <cell r="A895">
            <v>44762</v>
          </cell>
          <cell r="H895">
            <v>1.3509887417218591E-2</v>
          </cell>
        </row>
        <row r="896">
          <cell r="A896">
            <v>44763</v>
          </cell>
          <cell r="H896">
            <v>1.5094178683084492E-2</v>
          </cell>
        </row>
        <row r="897">
          <cell r="A897">
            <v>44764</v>
          </cell>
          <cell r="H897">
            <v>-8.1107817916659108E-3</v>
          </cell>
        </row>
        <row r="898">
          <cell r="A898">
            <v>44767</v>
          </cell>
          <cell r="H898">
            <v>-7.398267438465056E-3</v>
          </cell>
        </row>
        <row r="899">
          <cell r="A899">
            <v>44768</v>
          </cell>
          <cell r="H899">
            <v>-8.8263551911019755E-3</v>
          </cell>
        </row>
        <row r="900">
          <cell r="A900">
            <v>44769</v>
          </cell>
          <cell r="H900">
            <v>3.4234741389126411E-2</v>
          </cell>
        </row>
        <row r="901">
          <cell r="A901">
            <v>44770</v>
          </cell>
          <cell r="H901">
            <v>3.5717394285488258E-3</v>
          </cell>
        </row>
        <row r="902">
          <cell r="A902">
            <v>44771</v>
          </cell>
          <cell r="H902">
            <v>3.2793065162005641E-2</v>
          </cell>
        </row>
        <row r="903">
          <cell r="A903">
            <v>44774</v>
          </cell>
          <cell r="H903">
            <v>-6.153467668250201E-3</v>
          </cell>
        </row>
        <row r="904">
          <cell r="A904">
            <v>44775</v>
          </cell>
          <cell r="H904">
            <v>-9.2873509159603351E-3</v>
          </cell>
        </row>
        <row r="905">
          <cell r="A905">
            <v>44776</v>
          </cell>
          <cell r="H905">
            <v>3.8247673215663802E-2</v>
          </cell>
        </row>
        <row r="906">
          <cell r="A906">
            <v>44777</v>
          </cell>
          <cell r="H906">
            <v>-1.9262444493395314E-3</v>
          </cell>
        </row>
        <row r="907">
          <cell r="A907">
            <v>44778</v>
          </cell>
          <cell r="H907">
            <v>-2.7742114802993267E-3</v>
          </cell>
        </row>
        <row r="908">
          <cell r="A908">
            <v>44781</v>
          </cell>
          <cell r="H908">
            <v>-2.9029995922710272E-3</v>
          </cell>
        </row>
        <row r="909">
          <cell r="A909">
            <v>44782</v>
          </cell>
          <cell r="H909">
            <v>3.0328744778573835E-4</v>
          </cell>
        </row>
        <row r="910">
          <cell r="A910">
            <v>44783</v>
          </cell>
          <cell r="H910">
            <v>2.6194561316936316E-2</v>
          </cell>
        </row>
        <row r="911">
          <cell r="A911">
            <v>44784</v>
          </cell>
          <cell r="H911">
            <v>-4.4315763285400767E-3</v>
          </cell>
        </row>
        <row r="912">
          <cell r="A912">
            <v>44785</v>
          </cell>
          <cell r="H912">
            <v>2.1425609192664119E-2</v>
          </cell>
        </row>
        <row r="913">
          <cell r="A913">
            <v>44788</v>
          </cell>
          <cell r="H913">
            <v>6.3335035560661002E-3</v>
          </cell>
        </row>
        <row r="914">
          <cell r="A914">
            <v>44789</v>
          </cell>
          <cell r="H914">
            <v>-9.2385817975793039E-4</v>
          </cell>
        </row>
        <row r="915">
          <cell r="A915">
            <v>44790</v>
          </cell>
          <cell r="H915">
            <v>8.7846269940741184E-3</v>
          </cell>
        </row>
        <row r="916">
          <cell r="A916">
            <v>44791</v>
          </cell>
          <cell r="H916">
            <v>-2.2916585111717458E-3</v>
          </cell>
        </row>
        <row r="917">
          <cell r="A917">
            <v>44792</v>
          </cell>
          <cell r="H917">
            <v>-1.5101866727598057E-2</v>
          </cell>
        </row>
        <row r="918">
          <cell r="A918">
            <v>44795</v>
          </cell>
          <cell r="H918">
            <v>-2.3029366300621135E-2</v>
          </cell>
        </row>
        <row r="919">
          <cell r="A919">
            <v>44796</v>
          </cell>
          <cell r="H919">
            <v>-2.0290683642449903E-3</v>
          </cell>
        </row>
        <row r="920">
          <cell r="A920">
            <v>44797</v>
          </cell>
          <cell r="H920">
            <v>1.7939544769229876E-3</v>
          </cell>
        </row>
        <row r="921">
          <cell r="A921">
            <v>44798</v>
          </cell>
          <cell r="H921">
            <v>1.4922700500941355E-2</v>
          </cell>
        </row>
        <row r="922">
          <cell r="A922">
            <v>44799</v>
          </cell>
          <cell r="H922">
            <v>-3.7699253294708357E-2</v>
          </cell>
        </row>
        <row r="923">
          <cell r="A923">
            <v>44802</v>
          </cell>
          <cell r="H923">
            <v>-1.3690197215810773E-2</v>
          </cell>
        </row>
        <row r="924">
          <cell r="A924">
            <v>44803</v>
          </cell>
          <cell r="H924">
            <v>-1.5305495869826102E-2</v>
          </cell>
        </row>
        <row r="925">
          <cell r="A925">
            <v>44804</v>
          </cell>
          <cell r="H925">
            <v>-1.0634969211881673E-2</v>
          </cell>
        </row>
        <row r="926">
          <cell r="A926">
            <v>44805</v>
          </cell>
          <cell r="H926">
            <v>4.7068184409946312E-3</v>
          </cell>
        </row>
        <row r="927">
          <cell r="A927">
            <v>44806</v>
          </cell>
          <cell r="H927">
            <v>-1.3611097143088724E-2</v>
          </cell>
        </row>
        <row r="928">
          <cell r="A928">
            <v>44810</v>
          </cell>
          <cell r="H928">
            <v>-8.2151275042054994E-3</v>
          </cell>
        </row>
        <row r="929">
          <cell r="A929">
            <v>44811</v>
          </cell>
          <cell r="H929">
            <v>9.2539183928939117E-3</v>
          </cell>
        </row>
        <row r="930">
          <cell r="A930">
            <v>44812</v>
          </cell>
          <cell r="H930">
            <v>-9.6178502992757542E-3</v>
          </cell>
        </row>
        <row r="931">
          <cell r="A931">
            <v>44813</v>
          </cell>
          <cell r="H931">
            <v>1.8839750538144129E-2</v>
          </cell>
        </row>
        <row r="932">
          <cell r="A932">
            <v>44816</v>
          </cell>
          <cell r="H932">
            <v>3.8507963350955299E-2</v>
          </cell>
        </row>
        <row r="933">
          <cell r="A933">
            <v>44817</v>
          </cell>
          <cell r="H933">
            <v>-5.8679541153746406E-2</v>
          </cell>
        </row>
        <row r="934">
          <cell r="A934">
            <v>44818</v>
          </cell>
          <cell r="H934">
            <v>9.5553954642588756E-3</v>
          </cell>
        </row>
        <row r="935">
          <cell r="A935">
            <v>44819</v>
          </cell>
          <cell r="H935">
            <v>-1.8929901731117305E-2</v>
          </cell>
        </row>
        <row r="936">
          <cell r="A936">
            <v>44820</v>
          </cell>
          <cell r="H936">
            <v>-1.0960149995410839E-2</v>
          </cell>
        </row>
        <row r="937">
          <cell r="A937">
            <v>44823</v>
          </cell>
          <cell r="H937">
            <v>2.5082940114458108E-2</v>
          </cell>
        </row>
        <row r="938">
          <cell r="A938">
            <v>44824</v>
          </cell>
          <cell r="H938">
            <v>1.566544577072615E-2</v>
          </cell>
        </row>
        <row r="939">
          <cell r="A939">
            <v>44825</v>
          </cell>
          <cell r="H939">
            <v>-2.0267642585123369E-2</v>
          </cell>
        </row>
        <row r="940">
          <cell r="A940">
            <v>44826</v>
          </cell>
          <cell r="H940">
            <v>-6.3752016238928233E-3</v>
          </cell>
        </row>
        <row r="941">
          <cell r="A941">
            <v>44827</v>
          </cell>
          <cell r="H941">
            <v>-1.5123817758157077E-2</v>
          </cell>
        </row>
        <row r="942">
          <cell r="A942">
            <v>44830</v>
          </cell>
          <cell r="H942">
            <v>2.2602606914965406E-3</v>
          </cell>
        </row>
        <row r="943">
          <cell r="A943">
            <v>44831</v>
          </cell>
          <cell r="H943">
            <v>6.5662331613389746E-3</v>
          </cell>
        </row>
        <row r="944">
          <cell r="A944">
            <v>44832</v>
          </cell>
          <cell r="H944">
            <v>-1.2651548914455302E-2</v>
          </cell>
        </row>
        <row r="945">
          <cell r="A945">
            <v>44833</v>
          </cell>
          <cell r="H945">
            <v>-4.9119061642260098E-2</v>
          </cell>
        </row>
        <row r="946">
          <cell r="A946">
            <v>44834</v>
          </cell>
          <cell r="H946">
            <v>-3.0039297586729297E-2</v>
          </cell>
        </row>
        <row r="947">
          <cell r="A947">
            <v>44837</v>
          </cell>
          <cell r="H947">
            <v>3.0752533229071011E-2</v>
          </cell>
        </row>
        <row r="948">
          <cell r="A948">
            <v>44838</v>
          </cell>
          <cell r="H948">
            <v>2.5623089342711625E-2</v>
          </cell>
        </row>
        <row r="949">
          <cell r="A949">
            <v>44839</v>
          </cell>
          <cell r="H949">
            <v>2.0533058705007878E-3</v>
          </cell>
        </row>
        <row r="950">
          <cell r="A950">
            <v>44840</v>
          </cell>
          <cell r="H950">
            <v>-6.6256901622550046E-3</v>
          </cell>
        </row>
        <row r="951">
          <cell r="A951">
            <v>44841</v>
          </cell>
          <cell r="H951">
            <v>-3.6718677418900669E-2</v>
          </cell>
        </row>
        <row r="952">
          <cell r="A952">
            <v>44844</v>
          </cell>
          <cell r="H952">
            <v>2.3556428683171315E-3</v>
          </cell>
        </row>
        <row r="953">
          <cell r="A953">
            <v>44845</v>
          </cell>
          <cell r="H953">
            <v>-1.0254963826448638E-2</v>
          </cell>
        </row>
        <row r="954">
          <cell r="A954">
            <v>44846</v>
          </cell>
          <cell r="H954">
            <v>-4.604979266224607E-3</v>
          </cell>
        </row>
        <row r="955">
          <cell r="A955">
            <v>44847</v>
          </cell>
          <cell r="H955">
            <v>3.3612903964519214E-2</v>
          </cell>
        </row>
        <row r="956">
          <cell r="A956">
            <v>44848</v>
          </cell>
          <cell r="H956">
            <v>-3.2240015657038268E-2</v>
          </cell>
        </row>
        <row r="957">
          <cell r="A957">
            <v>44851</v>
          </cell>
          <cell r="H957">
            <v>2.9122697314543311E-2</v>
          </cell>
        </row>
        <row r="958">
          <cell r="A958">
            <v>44852</v>
          </cell>
          <cell r="H958">
            <v>9.409423231250047E-3</v>
          </cell>
        </row>
        <row r="959">
          <cell r="A959">
            <v>44853</v>
          </cell>
          <cell r="H959">
            <v>7.6522434782622106E-4</v>
          </cell>
        </row>
        <row r="960">
          <cell r="A960">
            <v>44854</v>
          </cell>
          <cell r="H960">
            <v>-3.2670790819750994E-3</v>
          </cell>
        </row>
        <row r="961">
          <cell r="A961">
            <v>44855</v>
          </cell>
          <cell r="H961">
            <v>2.7059104728775374E-2</v>
          </cell>
        </row>
        <row r="962">
          <cell r="A962">
            <v>44858</v>
          </cell>
          <cell r="H962">
            <v>1.4802695326877169E-2</v>
          </cell>
        </row>
        <row r="963">
          <cell r="A963">
            <v>44859</v>
          </cell>
          <cell r="H963">
            <v>1.9337564790985029E-2</v>
          </cell>
        </row>
        <row r="964">
          <cell r="A964">
            <v>44860</v>
          </cell>
          <cell r="H964">
            <v>-1.9627084669215811E-2</v>
          </cell>
        </row>
        <row r="965">
          <cell r="A965">
            <v>44861</v>
          </cell>
          <cell r="H965">
            <v>-3.0465368712472629E-2</v>
          </cell>
        </row>
        <row r="966">
          <cell r="A966">
            <v>44862</v>
          </cell>
          <cell r="H966">
            <v>7.5552498434685811E-2</v>
          </cell>
        </row>
        <row r="967">
          <cell r="A967">
            <v>44865</v>
          </cell>
          <cell r="H967">
            <v>-1.5410356510518808E-2</v>
          </cell>
        </row>
        <row r="968">
          <cell r="A968">
            <v>44866</v>
          </cell>
          <cell r="H968">
            <v>-1.7542729034635052E-2</v>
          </cell>
        </row>
        <row r="969">
          <cell r="A969">
            <v>44867</v>
          </cell>
          <cell r="H969">
            <v>-3.7304979912577974E-2</v>
          </cell>
        </row>
        <row r="970">
          <cell r="A970">
            <v>44868</v>
          </cell>
          <cell r="H970">
            <v>-4.240497857274339E-2</v>
          </cell>
        </row>
        <row r="971">
          <cell r="A971">
            <v>44869</v>
          </cell>
          <cell r="H971">
            <v>-3.6002302851300128E-3</v>
          </cell>
        </row>
        <row r="972">
          <cell r="A972">
            <v>44872</v>
          </cell>
          <cell r="H972">
            <v>3.9022472936027786E-3</v>
          </cell>
        </row>
        <row r="973">
          <cell r="A973">
            <v>44873</v>
          </cell>
          <cell r="H973">
            <v>4.1750792423709271E-3</v>
          </cell>
        </row>
        <row r="974">
          <cell r="A974">
            <v>44874</v>
          </cell>
          <cell r="H974">
            <v>-3.3190000000000053E-2</v>
          </cell>
        </row>
        <row r="975">
          <cell r="A975">
            <v>44875</v>
          </cell>
          <cell r="H975">
            <v>8.8974571401148284E-2</v>
          </cell>
        </row>
        <row r="976">
          <cell r="A976">
            <v>44876</v>
          </cell>
          <cell r="H976">
            <v>1.9268755336990351E-2</v>
          </cell>
        </row>
        <row r="977">
          <cell r="A977">
            <v>44879</v>
          </cell>
          <cell r="H977">
            <v>-9.4856247725909615E-3</v>
          </cell>
        </row>
        <row r="978">
          <cell r="A978">
            <v>44880</v>
          </cell>
          <cell r="H978">
            <v>1.1869395817840633E-2</v>
          </cell>
        </row>
        <row r="979">
          <cell r="A979">
            <v>44881</v>
          </cell>
          <cell r="H979">
            <v>-8.3311120922272552E-3</v>
          </cell>
        </row>
        <row r="980">
          <cell r="A980">
            <v>44882</v>
          </cell>
          <cell r="H980">
            <v>1.2971356212107432E-2</v>
          </cell>
        </row>
        <row r="981">
          <cell r="A981">
            <v>44883</v>
          </cell>
          <cell r="H981">
            <v>3.7817940301103636E-3</v>
          </cell>
        </row>
        <row r="982">
          <cell r="A982">
            <v>44886</v>
          </cell>
          <cell r="H982">
            <v>-2.1680204585639795E-2</v>
          </cell>
        </row>
        <row r="983">
          <cell r="A983">
            <v>44887</v>
          </cell>
          <cell r="H983">
            <v>1.4661158525138829E-2</v>
          </cell>
        </row>
        <row r="984">
          <cell r="A984">
            <v>44888</v>
          </cell>
          <cell r="H984">
            <v>5.9263153647903799E-3</v>
          </cell>
        </row>
        <row r="985">
          <cell r="A985">
            <v>44890</v>
          </cell>
          <cell r="H985">
            <v>-1.9593604705399836E-2</v>
          </cell>
        </row>
        <row r="986">
          <cell r="A986">
            <v>44893</v>
          </cell>
          <cell r="H986">
            <v>-2.6264262870405508E-2</v>
          </cell>
        </row>
        <row r="987">
          <cell r="A987">
            <v>44894</v>
          </cell>
          <cell r="H987">
            <v>-2.114826639059586E-2</v>
          </cell>
        </row>
        <row r="988">
          <cell r="A988">
            <v>44895</v>
          </cell>
          <cell r="H988">
            <v>4.8593901658906313E-2</v>
          </cell>
        </row>
        <row r="989">
          <cell r="A989">
            <v>44896</v>
          </cell>
          <cell r="H989">
            <v>1.8915017354015351E-3</v>
          </cell>
        </row>
        <row r="990">
          <cell r="A990">
            <v>44897</v>
          </cell>
          <cell r="H990">
            <v>-3.3713168818193529E-3</v>
          </cell>
        </row>
        <row r="991">
          <cell r="A991">
            <v>44900</v>
          </cell>
          <cell r="H991">
            <v>-7.9831744534628601E-3</v>
          </cell>
        </row>
        <row r="992">
          <cell r="A992">
            <v>44901</v>
          </cell>
          <cell r="H992">
            <v>-2.5369984813135793E-2</v>
          </cell>
        </row>
        <row r="993">
          <cell r="A993">
            <v>44902</v>
          </cell>
          <cell r="H993">
            <v>-1.3784913196139836E-2</v>
          </cell>
        </row>
        <row r="994">
          <cell r="A994">
            <v>44903</v>
          </cell>
          <cell r="H994">
            <v>1.2132765543738211E-2</v>
          </cell>
        </row>
        <row r="995">
          <cell r="A995">
            <v>44904</v>
          </cell>
          <cell r="H995">
            <v>-3.434910764875343E-3</v>
          </cell>
        </row>
        <row r="996">
          <cell r="A996">
            <v>44907</v>
          </cell>
          <cell r="H996">
            <v>1.6389989690771323E-2</v>
          </cell>
        </row>
        <row r="997">
          <cell r="A997">
            <v>44908</v>
          </cell>
          <cell r="H997">
            <v>6.7824483776577349E-3</v>
          </cell>
        </row>
        <row r="998">
          <cell r="A998">
            <v>44909</v>
          </cell>
          <cell r="H998">
            <v>-1.5535807963595216E-2</v>
          </cell>
        </row>
        <row r="999">
          <cell r="A999">
            <v>44910</v>
          </cell>
          <cell r="H999">
            <v>-4.6854316542279006E-2</v>
          </cell>
        </row>
        <row r="1000">
          <cell r="A1000">
            <v>44911</v>
          </cell>
          <cell r="H1000">
            <v>-1.4578791208791131E-2</v>
          </cell>
        </row>
        <row r="1001">
          <cell r="A1001">
            <v>44914</v>
          </cell>
          <cell r="H1001">
            <v>-1.5909598390811186E-2</v>
          </cell>
        </row>
        <row r="1002">
          <cell r="A1002">
            <v>44915</v>
          </cell>
          <cell r="H1002">
            <v>-5.2876031309045946E-4</v>
          </cell>
        </row>
        <row r="1003">
          <cell r="A1003">
            <v>44916</v>
          </cell>
          <cell r="H1003">
            <v>2.3809477918152355E-2</v>
          </cell>
        </row>
        <row r="1004">
          <cell r="A1004">
            <v>44917</v>
          </cell>
          <cell r="H1004">
            <v>-2.3772617728444856E-2</v>
          </cell>
        </row>
        <row r="1005">
          <cell r="A1005">
            <v>44918</v>
          </cell>
          <cell r="H1005">
            <v>-2.798117002136058E-3</v>
          </cell>
        </row>
        <row r="1006">
          <cell r="A1006">
            <v>44922</v>
          </cell>
          <cell r="H1006">
            <v>-1.3878370894294223E-2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e1" displayName="Table1" ref="A1:I1006" totalsRowShown="0">
  <autoFilter ref="A1:I1006"/>
  <tableColumns count="9">
    <tableColumn id="1" name="Date" dataDxfId="2"/>
    <tableColumn id="2" name="Open"/>
    <tableColumn id="3" name="High"/>
    <tableColumn id="4" name="Low"/>
    <tableColumn id="5" name="Close"/>
    <tableColumn id="6" name="Adj Close"/>
    <tableColumn id="7" name="Volume"/>
    <tableColumn id="8" name="Meta stock return" dataDxfId="1" dataCellStyle="Percent">
      <calculatedColumnFormula>E2/E1-1</calculatedColumnFormula>
    </tableColumn>
    <tableColumn id="9" name="Apple stock return" dataDxfId="0" dataCellStyle="Percent">
      <calculatedColumnFormula>VLOOKUP(A2,AAPL!A:H,8,)</calculatedColumnFormula>
    </tableColumn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006"/>
  <sheetViews>
    <sheetView tabSelected="1" zoomScale="59" workbookViewId="0">
      <selection activeCell="R9" sqref="R9"/>
    </sheetView>
  </sheetViews>
  <sheetFormatPr defaultRowHeight="14.5" x14ac:dyDescent="0.35"/>
  <cols>
    <col min="1" max="1" width="10.453125" bestFit="1" customWidth="1"/>
    <col min="6" max="6" width="10.54296875" customWidth="1"/>
    <col min="7" max="7" width="9.26953125" customWidth="1"/>
    <col min="8" max="8" width="18" style="2" customWidth="1"/>
    <col min="9" max="9" width="18.36328125" style="2" customWidth="1"/>
    <col min="11" max="11" width="19.90625" bestFit="1" customWidth="1"/>
    <col min="12" max="12" width="28.08984375" customWidth="1"/>
    <col min="13" max="13" width="29.26953125" customWidth="1"/>
  </cols>
  <sheetData>
    <row r="1" spans="1:17" ht="15" thickBot="1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s="2" t="s">
        <v>9</v>
      </c>
      <c r="J1" s="3"/>
      <c r="K1" s="3"/>
      <c r="L1" s="3"/>
      <c r="M1" s="3"/>
      <c r="N1" s="3"/>
      <c r="O1" s="3"/>
      <c r="P1" s="3"/>
      <c r="Q1" s="3"/>
    </row>
    <row r="2" spans="1:17" ht="25" customHeight="1" x14ac:dyDescent="0.45">
      <c r="A2" s="1">
        <v>43467</v>
      </c>
      <c r="B2">
        <v>128.990005</v>
      </c>
      <c r="C2">
        <v>137.509995</v>
      </c>
      <c r="D2">
        <v>128.55999800000001</v>
      </c>
      <c r="E2">
        <v>135.679993</v>
      </c>
      <c r="F2">
        <v>135.679993</v>
      </c>
      <c r="G2">
        <v>28146200</v>
      </c>
      <c r="H2" s="2">
        <v>0</v>
      </c>
      <c r="I2" s="2">
        <f>VLOOKUP(A2,AAPL!A:H,8,)</f>
        <v>0</v>
      </c>
      <c r="J2" s="3"/>
      <c r="K2" s="4"/>
      <c r="L2" s="5" t="s">
        <v>10</v>
      </c>
      <c r="M2" s="6" t="s">
        <v>11</v>
      </c>
      <c r="N2" s="3"/>
      <c r="O2" s="3"/>
      <c r="P2" s="3"/>
      <c r="Q2" s="3"/>
    </row>
    <row r="3" spans="1:17" ht="25" customHeight="1" x14ac:dyDescent="0.45">
      <c r="A3" s="1">
        <v>43468</v>
      </c>
      <c r="B3">
        <v>134.69000199999999</v>
      </c>
      <c r="C3">
        <v>137.16999799999999</v>
      </c>
      <c r="D3">
        <v>131.11999499999999</v>
      </c>
      <c r="E3">
        <v>131.740005</v>
      </c>
      <c r="F3">
        <v>131.740005</v>
      </c>
      <c r="G3">
        <v>22717900</v>
      </c>
      <c r="H3" s="2">
        <f>E3/E2-1</f>
        <v>-2.9038828149114071E-2</v>
      </c>
      <c r="I3" s="2">
        <f>VLOOKUP(A3,AAPL!A:H,8,)</f>
        <v>-9.9607370820668728E-2</v>
      </c>
      <c r="J3" s="3"/>
      <c r="K3" s="7" t="s">
        <v>12</v>
      </c>
      <c r="L3" s="8">
        <f>AVERAGE(Table1[Meta stock return])</f>
        <v>2.5529981268717424E-4</v>
      </c>
      <c r="M3" s="9">
        <f>AVERAGE(Table1[Apple stock return])</f>
        <v>1.4235904297312978E-3</v>
      </c>
      <c r="N3" s="3"/>
      <c r="O3" s="3"/>
      <c r="P3" s="3"/>
      <c r="Q3" s="3"/>
    </row>
    <row r="4" spans="1:17" ht="25" customHeight="1" x14ac:dyDescent="0.45">
      <c r="A4" s="1">
        <v>43469</v>
      </c>
      <c r="B4">
        <v>134.009995</v>
      </c>
      <c r="C4">
        <v>138</v>
      </c>
      <c r="D4">
        <v>133.75</v>
      </c>
      <c r="E4">
        <v>137.949997</v>
      </c>
      <c r="F4">
        <v>137.949997</v>
      </c>
      <c r="G4">
        <v>29002100</v>
      </c>
      <c r="H4" s="2">
        <f t="shared" ref="H4:H67" si="0">E4/E3-1</f>
        <v>4.7138240202738713E-2</v>
      </c>
      <c r="I4" s="2">
        <f>VLOOKUP(A4,AAPL!A:H,8,)</f>
        <v>4.2689301844312633E-2</v>
      </c>
      <c r="J4" s="3"/>
      <c r="K4" s="7" t="s">
        <v>13</v>
      </c>
      <c r="L4" s="8">
        <f>_xlfn.STDEV.S(Table1[Meta stock return])</f>
        <v>2.7982411418711703E-2</v>
      </c>
      <c r="M4" s="9">
        <f>_xlfn.STDEV.S(Table1[Apple stock return])</f>
        <v>2.1766908956369038E-2</v>
      </c>
      <c r="N4" s="3"/>
      <c r="O4" s="3"/>
      <c r="P4" s="3"/>
      <c r="Q4" s="3"/>
    </row>
    <row r="5" spans="1:17" ht="25" customHeight="1" x14ac:dyDescent="0.45">
      <c r="A5" s="1">
        <v>43472</v>
      </c>
      <c r="B5">
        <v>137.55999800000001</v>
      </c>
      <c r="C5">
        <v>138.86999499999999</v>
      </c>
      <c r="D5">
        <v>135.91000399999999</v>
      </c>
      <c r="E5">
        <v>138.050003</v>
      </c>
      <c r="F5">
        <v>138.050003</v>
      </c>
      <c r="G5">
        <v>20089300</v>
      </c>
      <c r="H5" s="2">
        <f t="shared" si="0"/>
        <v>7.249438359901994E-4</v>
      </c>
      <c r="I5" s="2">
        <f>VLOOKUP(A5,AAPL!A:H,8,)</f>
        <v>-2.2258465459557009E-3</v>
      </c>
      <c r="J5" s="3"/>
      <c r="K5" s="7" t="s">
        <v>14</v>
      </c>
      <c r="L5" s="8">
        <f>_xlfn.VAR.S(Table1[Meta stock return])</f>
        <v>7.8301534880604717E-4</v>
      </c>
      <c r="M5" s="9">
        <f>_xlfn.VAR.S(Table1[Apple stock return])</f>
        <v>4.7379832551485866E-4</v>
      </c>
      <c r="N5" s="3"/>
      <c r="O5" s="3"/>
      <c r="P5" s="3"/>
      <c r="Q5" s="3"/>
    </row>
    <row r="6" spans="1:17" ht="25" customHeight="1" x14ac:dyDescent="0.45">
      <c r="A6" s="1">
        <v>43473</v>
      </c>
      <c r="B6">
        <v>139.88999899999999</v>
      </c>
      <c r="C6">
        <v>143.13999899999999</v>
      </c>
      <c r="D6">
        <v>139.53999300000001</v>
      </c>
      <c r="E6">
        <v>142.529999</v>
      </c>
      <c r="F6">
        <v>142.529999</v>
      </c>
      <c r="G6">
        <v>26263800</v>
      </c>
      <c r="H6" s="2">
        <f t="shared" si="0"/>
        <v>3.2451980461021712E-2</v>
      </c>
      <c r="I6" s="2">
        <f>VLOOKUP(A6,AAPL!A:H,8,)</f>
        <v>1.9063125481680654E-2</v>
      </c>
      <c r="J6" s="3"/>
      <c r="K6" s="7" t="s">
        <v>16</v>
      </c>
      <c r="L6" s="10">
        <f>L18/10</f>
        <v>0.7</v>
      </c>
      <c r="M6" s="11">
        <f>1-L6</f>
        <v>0.30000000000000004</v>
      </c>
      <c r="N6" s="3"/>
      <c r="O6" s="3"/>
      <c r="P6" s="3"/>
      <c r="Q6" s="3"/>
    </row>
    <row r="7" spans="1:17" ht="25" customHeight="1" x14ac:dyDescent="0.45">
      <c r="A7" s="1">
        <v>43474</v>
      </c>
      <c r="B7">
        <v>142.949997</v>
      </c>
      <c r="C7">
        <v>144.699997</v>
      </c>
      <c r="D7">
        <v>141.270004</v>
      </c>
      <c r="E7">
        <v>144.229996</v>
      </c>
      <c r="F7">
        <v>144.229996</v>
      </c>
      <c r="G7">
        <v>22205900</v>
      </c>
      <c r="H7" s="2">
        <f t="shared" si="0"/>
        <v>1.1927292583507221E-2</v>
      </c>
      <c r="I7" s="2">
        <f>VLOOKUP(A7,AAPL!A:H,8,)</f>
        <v>1.6981731343283624E-2</v>
      </c>
      <c r="J7" s="3"/>
      <c r="K7" s="7" t="s">
        <v>20</v>
      </c>
      <c r="L7" s="8"/>
      <c r="M7" s="9"/>
      <c r="N7" s="3"/>
      <c r="O7" s="3"/>
      <c r="P7" s="3"/>
      <c r="Q7" s="3"/>
    </row>
    <row r="8" spans="1:17" ht="25" customHeight="1" x14ac:dyDescent="0.45">
      <c r="A8" s="1">
        <v>43475</v>
      </c>
      <c r="B8">
        <v>143.08000200000001</v>
      </c>
      <c r="C8">
        <v>144.55999800000001</v>
      </c>
      <c r="D8">
        <v>140.83999600000001</v>
      </c>
      <c r="E8">
        <v>144.199997</v>
      </c>
      <c r="F8">
        <v>144.199997</v>
      </c>
      <c r="G8">
        <v>16125000</v>
      </c>
      <c r="H8" s="2">
        <f t="shared" si="0"/>
        <v>-2.0799418173733653E-4</v>
      </c>
      <c r="I8" s="2">
        <f>VLOOKUP(A8,AAPL!A:H,8,)</f>
        <v>3.1961908080671009E-3</v>
      </c>
      <c r="J8" s="3"/>
      <c r="K8" s="7"/>
      <c r="L8" s="8"/>
      <c r="M8" s="9"/>
      <c r="N8" s="3"/>
      <c r="O8" s="3"/>
      <c r="P8" s="3"/>
      <c r="Q8" s="3"/>
    </row>
    <row r="9" spans="1:17" ht="25" customHeight="1" x14ac:dyDescent="0.45">
      <c r="A9" s="1">
        <v>43476</v>
      </c>
      <c r="B9">
        <v>143.14999399999999</v>
      </c>
      <c r="C9">
        <v>145.36000100000001</v>
      </c>
      <c r="D9">
        <v>142.570007</v>
      </c>
      <c r="E9">
        <v>143.800003</v>
      </c>
      <c r="F9">
        <v>143.800003</v>
      </c>
      <c r="G9">
        <v>12908000</v>
      </c>
      <c r="H9" s="2">
        <f t="shared" si="0"/>
        <v>-2.7738835528546835E-3</v>
      </c>
      <c r="I9" s="2">
        <f>VLOOKUP(A9,AAPL!A:H,8,)</f>
        <v>-9.8180231516767913E-3</v>
      </c>
      <c r="J9" s="3"/>
      <c r="K9" s="7" t="s">
        <v>17</v>
      </c>
      <c r="L9" s="12">
        <f>M18/10000</f>
        <v>4.0000000000000002E-4</v>
      </c>
      <c r="M9" s="9"/>
      <c r="N9" s="3"/>
      <c r="O9" s="3"/>
      <c r="P9" s="3"/>
      <c r="Q9" s="3"/>
    </row>
    <row r="10" spans="1:17" ht="25" customHeight="1" x14ac:dyDescent="0.45">
      <c r="A10" s="1">
        <v>43479</v>
      </c>
      <c r="B10">
        <v>142</v>
      </c>
      <c r="C10">
        <v>146.570007</v>
      </c>
      <c r="D10">
        <v>141.270004</v>
      </c>
      <c r="E10">
        <v>145.38999899999999</v>
      </c>
      <c r="F10">
        <v>145.38999899999999</v>
      </c>
      <c r="G10">
        <v>20520300</v>
      </c>
      <c r="H10" s="2">
        <f t="shared" si="0"/>
        <v>1.1056995596863795E-2</v>
      </c>
      <c r="I10" s="2">
        <f>VLOOKUP(A10,AAPL!A:H,8,)</f>
        <v>-1.5037048527785202E-2</v>
      </c>
      <c r="J10" s="3"/>
      <c r="K10" s="7" t="s">
        <v>18</v>
      </c>
      <c r="L10" s="8">
        <f>L9/(L4*M4)</f>
        <v>0.65671674930360369</v>
      </c>
      <c r="M10" s="9"/>
      <c r="N10" s="3"/>
      <c r="O10" s="3"/>
      <c r="P10" s="3"/>
      <c r="Q10" s="3"/>
    </row>
    <row r="11" spans="1:17" ht="25" customHeight="1" x14ac:dyDescent="0.45">
      <c r="A11" s="1">
        <v>43480</v>
      </c>
      <c r="B11">
        <v>146.009995</v>
      </c>
      <c r="C11">
        <v>150.679993</v>
      </c>
      <c r="D11">
        <v>145.990005</v>
      </c>
      <c r="E11">
        <v>148.949997</v>
      </c>
      <c r="F11">
        <v>148.949997</v>
      </c>
      <c r="G11">
        <v>24069000</v>
      </c>
      <c r="H11" s="2">
        <f t="shared" si="0"/>
        <v>2.448585201517206E-2</v>
      </c>
      <c r="I11" s="2">
        <f>VLOOKUP(A11,AAPL!A:H,8,)</f>
        <v>2.0466719999999938E-2</v>
      </c>
      <c r="J11" s="3"/>
      <c r="K11" s="7" t="s">
        <v>15</v>
      </c>
      <c r="L11" s="13">
        <f>(L6*L3)+(M6*M3)</f>
        <v>6.0578699780041139E-4</v>
      </c>
      <c r="M11" s="9"/>
      <c r="N11" s="3"/>
      <c r="O11" s="3"/>
      <c r="P11" s="3"/>
      <c r="Q11" s="3"/>
    </row>
    <row r="12" spans="1:17" ht="25" customHeight="1" thickBot="1" x14ac:dyDescent="0.5">
      <c r="A12" s="1">
        <v>43481</v>
      </c>
      <c r="B12">
        <v>149</v>
      </c>
      <c r="C12">
        <v>149.64999399999999</v>
      </c>
      <c r="D12">
        <v>147</v>
      </c>
      <c r="E12">
        <v>147.53999300000001</v>
      </c>
      <c r="F12">
        <v>147.53999300000001</v>
      </c>
      <c r="G12">
        <v>18025700</v>
      </c>
      <c r="H12" s="2">
        <f t="shared" si="0"/>
        <v>-9.4662908922380495E-3</v>
      </c>
      <c r="I12" s="2">
        <f>VLOOKUP(A12,AAPL!A:H,8,)</f>
        <v>1.2216606142726461E-2</v>
      </c>
      <c r="J12" s="3"/>
      <c r="K12" s="14" t="s">
        <v>19</v>
      </c>
      <c r="L12" s="15">
        <f>L6^2*L5+M6^2*M5+2*L6*M6*L9</f>
        <v>5.9431937021130036E-4</v>
      </c>
      <c r="M12" s="16"/>
      <c r="N12" s="3"/>
      <c r="O12" s="3"/>
      <c r="P12" s="3"/>
      <c r="Q12" s="3"/>
    </row>
    <row r="13" spans="1:17" x14ac:dyDescent="0.35">
      <c r="A13" s="1">
        <v>43482</v>
      </c>
      <c r="B13">
        <v>146.949997</v>
      </c>
      <c r="C13">
        <v>149</v>
      </c>
      <c r="D13">
        <v>146.5</v>
      </c>
      <c r="E13">
        <v>148.300003</v>
      </c>
      <c r="F13">
        <v>148.300003</v>
      </c>
      <c r="G13">
        <v>15787900</v>
      </c>
      <c r="H13" s="2">
        <f t="shared" si="0"/>
        <v>5.1512134747084826E-3</v>
      </c>
      <c r="I13" s="2">
        <f>VLOOKUP(A13,AAPL!A:H,8,)</f>
        <v>5.9377563976312775E-3</v>
      </c>
      <c r="J13" s="3"/>
      <c r="K13" s="3"/>
      <c r="L13" s="3"/>
      <c r="M13" s="3"/>
      <c r="N13" s="3"/>
      <c r="O13" s="3"/>
      <c r="P13" s="3"/>
      <c r="Q13" s="3"/>
    </row>
    <row r="14" spans="1:17" x14ac:dyDescent="0.35">
      <c r="A14" s="1">
        <v>43483</v>
      </c>
      <c r="B14">
        <v>149.75</v>
      </c>
      <c r="C14">
        <v>152.429993</v>
      </c>
      <c r="D14">
        <v>148.550003</v>
      </c>
      <c r="E14">
        <v>150.03999300000001</v>
      </c>
      <c r="F14">
        <v>150.03999300000001</v>
      </c>
      <c r="G14">
        <v>31029600</v>
      </c>
      <c r="H14" s="2">
        <f t="shared" si="0"/>
        <v>1.1732906033724122E-2</v>
      </c>
      <c r="I14" s="2">
        <f>VLOOKUP(A14,AAPL!A:H,8,)</f>
        <v>6.15942512511225E-3</v>
      </c>
      <c r="J14" s="3"/>
      <c r="K14" s="3"/>
      <c r="L14" s="3"/>
      <c r="M14" s="3"/>
      <c r="N14" s="3"/>
      <c r="O14" s="3"/>
      <c r="P14" s="3"/>
      <c r="Q14" s="3"/>
    </row>
    <row r="15" spans="1:17" x14ac:dyDescent="0.35">
      <c r="A15" s="1">
        <v>43487</v>
      </c>
      <c r="B15">
        <v>149.199997</v>
      </c>
      <c r="C15">
        <v>151.529999</v>
      </c>
      <c r="D15">
        <v>146.36999499999999</v>
      </c>
      <c r="E15">
        <v>147.570007</v>
      </c>
      <c r="F15">
        <v>147.570007</v>
      </c>
      <c r="G15">
        <v>22378700</v>
      </c>
      <c r="H15" s="2">
        <f t="shared" si="0"/>
        <v>-1.6462184185785711E-2</v>
      </c>
      <c r="I15" s="2">
        <f>VLOOKUP(A15,AAPL!A:H,8,)</f>
        <v>-2.2446140928649827E-2</v>
      </c>
      <c r="J15" s="3"/>
      <c r="K15" s="3"/>
      <c r="L15" s="3"/>
      <c r="M15" s="3"/>
      <c r="N15" s="3"/>
      <c r="O15" s="3"/>
      <c r="P15" s="3"/>
      <c r="Q15" s="3"/>
    </row>
    <row r="16" spans="1:17" x14ac:dyDescent="0.35">
      <c r="A16" s="1">
        <v>43488</v>
      </c>
      <c r="B16">
        <v>148.279999</v>
      </c>
      <c r="C16">
        <v>148.800003</v>
      </c>
      <c r="D16">
        <v>143.05999800000001</v>
      </c>
      <c r="E16">
        <v>144.300003</v>
      </c>
      <c r="F16">
        <v>144.300003</v>
      </c>
      <c r="G16">
        <v>20098400</v>
      </c>
      <c r="H16" s="2">
        <f t="shared" si="0"/>
        <v>-2.2159001456169891E-2</v>
      </c>
      <c r="I16" s="2">
        <f>VLOOKUP(A16,AAPL!A:H,8,)</f>
        <v>4.044331270858903E-3</v>
      </c>
      <c r="J16" s="3"/>
      <c r="K16" s="3"/>
      <c r="L16" s="3"/>
      <c r="M16" s="3"/>
      <c r="N16" s="3"/>
      <c r="O16" s="3"/>
      <c r="P16" s="3"/>
      <c r="Q16" s="3"/>
    </row>
    <row r="17" spans="1:17" x14ac:dyDescent="0.35">
      <c r="A17" s="1">
        <v>43489</v>
      </c>
      <c r="B17">
        <v>144.63999899999999</v>
      </c>
      <c r="C17">
        <v>146.44000199999999</v>
      </c>
      <c r="D17">
        <v>142.520004</v>
      </c>
      <c r="E17">
        <v>145.83000200000001</v>
      </c>
      <c r="F17">
        <v>145.83000200000001</v>
      </c>
      <c r="G17">
        <v>20955500</v>
      </c>
      <c r="H17" s="2">
        <f t="shared" si="0"/>
        <v>1.0602903452469059E-2</v>
      </c>
      <c r="I17" s="2">
        <f>VLOOKUP(A17,AAPL!A:H,8,)</f>
        <v>-7.926221413721346E-3</v>
      </c>
      <c r="J17" s="3"/>
      <c r="K17" s="3"/>
      <c r="L17" s="3"/>
      <c r="M17" s="3"/>
      <c r="N17" s="3"/>
      <c r="O17" s="3"/>
      <c r="P17" s="3"/>
      <c r="Q17" s="3"/>
    </row>
    <row r="18" spans="1:17" x14ac:dyDescent="0.35">
      <c r="A18" s="1">
        <v>43490</v>
      </c>
      <c r="B18">
        <v>147.479996</v>
      </c>
      <c r="C18">
        <v>149.83000200000001</v>
      </c>
      <c r="D18">
        <v>146.53999300000001</v>
      </c>
      <c r="E18">
        <v>149.009995</v>
      </c>
      <c r="F18">
        <v>149.009995</v>
      </c>
      <c r="G18">
        <v>22237200</v>
      </c>
      <c r="H18" s="2">
        <f t="shared" si="0"/>
        <v>2.1806164413273432E-2</v>
      </c>
      <c r="I18" s="2">
        <f>VLOOKUP(A18,AAPL!A:H,8,)</f>
        <v>3.3136870547134878E-2</v>
      </c>
      <c r="J18" s="3"/>
      <c r="K18" s="3"/>
      <c r="L18" s="3">
        <v>7</v>
      </c>
      <c r="M18" s="3">
        <v>4</v>
      </c>
      <c r="N18" s="3"/>
      <c r="O18" s="3"/>
      <c r="P18" s="3"/>
      <c r="Q18" s="3"/>
    </row>
    <row r="19" spans="1:17" x14ac:dyDescent="0.35">
      <c r="A19" s="1">
        <v>43493</v>
      </c>
      <c r="B19">
        <v>148.050003</v>
      </c>
      <c r="C19">
        <v>148.96000699999999</v>
      </c>
      <c r="D19">
        <v>146.21000699999999</v>
      </c>
      <c r="E19">
        <v>147.470001</v>
      </c>
      <c r="F19">
        <v>147.470001</v>
      </c>
      <c r="G19">
        <v>15508500</v>
      </c>
      <c r="H19" s="2">
        <f t="shared" si="0"/>
        <v>-1.0334836934931868E-2</v>
      </c>
      <c r="I19" s="2">
        <f>VLOOKUP(A19,AAPL!A:H,8,)</f>
        <v>-9.2545134192321132E-3</v>
      </c>
      <c r="J19" s="3"/>
      <c r="K19" s="3"/>
      <c r="L19" s="3"/>
      <c r="M19" s="3"/>
      <c r="N19" s="3"/>
      <c r="O19" s="3"/>
      <c r="P19" s="3"/>
      <c r="Q19" s="3"/>
    </row>
    <row r="20" spans="1:17" x14ac:dyDescent="0.35">
      <c r="A20" s="1">
        <v>43494</v>
      </c>
      <c r="B20">
        <v>148.08999600000001</v>
      </c>
      <c r="C20">
        <v>148.10000600000001</v>
      </c>
      <c r="D20">
        <v>143.429993</v>
      </c>
      <c r="E20">
        <v>144.19000199999999</v>
      </c>
      <c r="F20">
        <v>144.19000199999999</v>
      </c>
      <c r="G20">
        <v>17632100</v>
      </c>
      <c r="H20" s="2">
        <f t="shared" si="0"/>
        <v>-2.2241804962081724E-2</v>
      </c>
      <c r="I20" s="2">
        <f>VLOOKUP(A20,AAPL!A:H,8,)</f>
        <v>-1.0364759811522517E-2</v>
      </c>
      <c r="J20" s="3"/>
      <c r="K20" s="3"/>
      <c r="L20" s="3"/>
      <c r="M20" s="3"/>
      <c r="N20" s="3"/>
      <c r="O20" s="3"/>
      <c r="P20" s="3"/>
      <c r="Q20" s="3"/>
    </row>
    <row r="21" spans="1:17" x14ac:dyDescent="0.35">
      <c r="A21" s="1">
        <v>43495</v>
      </c>
      <c r="B21">
        <v>146.220001</v>
      </c>
      <c r="C21">
        <v>150.949997</v>
      </c>
      <c r="D21">
        <v>145.699997</v>
      </c>
      <c r="E21">
        <v>150.41999799999999</v>
      </c>
      <c r="F21">
        <v>150.41999799999999</v>
      </c>
      <c r="G21">
        <v>44613200</v>
      </c>
      <c r="H21" s="2">
        <f t="shared" si="0"/>
        <v>4.3206851470880769E-2</v>
      </c>
      <c r="I21" s="2">
        <f>VLOOKUP(A21,AAPL!A:H,8,)</f>
        <v>6.833468157924405E-2</v>
      </c>
      <c r="J21" s="3"/>
      <c r="K21" s="3"/>
      <c r="L21" s="3"/>
      <c r="M21" s="3"/>
      <c r="N21" s="3"/>
      <c r="O21" s="3"/>
      <c r="P21" s="3"/>
      <c r="Q21" s="3"/>
    </row>
    <row r="22" spans="1:17" x14ac:dyDescent="0.35">
      <c r="A22" s="1">
        <v>43496</v>
      </c>
      <c r="B22">
        <v>165.60000600000001</v>
      </c>
      <c r="C22">
        <v>171.679993</v>
      </c>
      <c r="D22">
        <v>165</v>
      </c>
      <c r="E22">
        <v>166.69000199999999</v>
      </c>
      <c r="F22">
        <v>166.69000199999999</v>
      </c>
      <c r="G22">
        <v>77233600</v>
      </c>
      <c r="H22" s="2">
        <f t="shared" si="0"/>
        <v>0.10816383603462087</v>
      </c>
      <c r="I22" s="2">
        <f>VLOOKUP(A22,AAPL!A:H,8,)</f>
        <v>7.2012344931919881E-3</v>
      </c>
      <c r="J22" s="3"/>
      <c r="K22" s="3"/>
      <c r="L22" s="3"/>
      <c r="M22" s="3"/>
      <c r="N22" s="3"/>
      <c r="O22" s="3"/>
      <c r="P22" s="3"/>
      <c r="Q22" s="3"/>
    </row>
    <row r="23" spans="1:17" x14ac:dyDescent="0.35">
      <c r="A23" s="1">
        <v>43497</v>
      </c>
      <c r="B23">
        <v>165.83999600000001</v>
      </c>
      <c r="C23">
        <v>169.10000600000001</v>
      </c>
      <c r="D23">
        <v>165.66000399999999</v>
      </c>
      <c r="E23">
        <v>165.71000699999999</v>
      </c>
      <c r="F23">
        <v>165.71000699999999</v>
      </c>
      <c r="G23">
        <v>30806500</v>
      </c>
      <c r="H23" s="2">
        <f t="shared" si="0"/>
        <v>-5.8791468488914589E-3</v>
      </c>
      <c r="I23" s="2">
        <f>VLOOKUP(A23,AAPL!A:H,8,)</f>
        <v>4.8065367746574772E-4</v>
      </c>
      <c r="J23" s="3"/>
      <c r="K23" s="3"/>
      <c r="L23" s="3"/>
      <c r="M23" s="3"/>
      <c r="N23" s="3"/>
      <c r="O23" s="3"/>
      <c r="P23" s="3"/>
      <c r="Q23" s="3"/>
    </row>
    <row r="24" spans="1:17" x14ac:dyDescent="0.35">
      <c r="A24" s="1">
        <v>43500</v>
      </c>
      <c r="B24">
        <v>165.699997</v>
      </c>
      <c r="C24">
        <v>169.300003</v>
      </c>
      <c r="D24">
        <v>163.61999499999999</v>
      </c>
      <c r="E24">
        <v>169.25</v>
      </c>
      <c r="F24">
        <v>169.25</v>
      </c>
      <c r="G24">
        <v>20036000</v>
      </c>
      <c r="H24" s="2">
        <f t="shared" si="0"/>
        <v>2.1362578302226654E-2</v>
      </c>
      <c r="I24" s="2">
        <f>VLOOKUP(A24,AAPL!A:H,8,)</f>
        <v>2.8404971693370751E-2</v>
      </c>
      <c r="J24" s="3"/>
      <c r="K24" s="3"/>
      <c r="L24" s="3"/>
      <c r="M24" s="3"/>
      <c r="N24" s="3"/>
      <c r="O24" s="3"/>
      <c r="P24" s="3"/>
      <c r="Q24" s="3"/>
    </row>
    <row r="25" spans="1:17" x14ac:dyDescent="0.35">
      <c r="A25" s="1">
        <v>43501</v>
      </c>
      <c r="B25">
        <v>169.14999399999999</v>
      </c>
      <c r="C25">
        <v>171.979996</v>
      </c>
      <c r="D25">
        <v>168.69000199999999</v>
      </c>
      <c r="E25">
        <v>171.16000399999999</v>
      </c>
      <c r="F25">
        <v>171.16000399999999</v>
      </c>
      <c r="G25">
        <v>22557000</v>
      </c>
      <c r="H25" s="2">
        <f t="shared" si="0"/>
        <v>1.1285104874446006E-2</v>
      </c>
      <c r="I25" s="2">
        <f>VLOOKUP(A25,AAPL!A:H,8,)</f>
        <v>1.71094423357665E-2</v>
      </c>
      <c r="J25" s="3"/>
      <c r="K25" s="3"/>
      <c r="L25" s="3"/>
      <c r="M25" s="3"/>
      <c r="N25" s="3"/>
      <c r="O25" s="3"/>
      <c r="P25" s="3"/>
      <c r="Q25" s="3"/>
    </row>
    <row r="26" spans="1:17" x14ac:dyDescent="0.35">
      <c r="A26" s="1">
        <v>43502</v>
      </c>
      <c r="B26">
        <v>171.199997</v>
      </c>
      <c r="C26">
        <v>172.470001</v>
      </c>
      <c r="D26">
        <v>169.270004</v>
      </c>
      <c r="E26">
        <v>170.490005</v>
      </c>
      <c r="F26">
        <v>170.490005</v>
      </c>
      <c r="G26">
        <v>13281200</v>
      </c>
      <c r="H26" s="2">
        <f t="shared" si="0"/>
        <v>-3.9144600627608606E-3</v>
      </c>
      <c r="I26" s="2">
        <f>VLOOKUP(A26,AAPL!A:H,8,)</f>
        <v>3.4454014672369304E-4</v>
      </c>
      <c r="J26" s="3"/>
      <c r="K26" s="3"/>
      <c r="L26" s="3"/>
      <c r="M26" s="3"/>
      <c r="N26" s="3"/>
      <c r="O26" s="3"/>
      <c r="P26" s="3"/>
      <c r="Q26" s="3"/>
    </row>
    <row r="27" spans="1:17" x14ac:dyDescent="0.35">
      <c r="A27" s="1">
        <v>43503</v>
      </c>
      <c r="B27">
        <v>168.199997</v>
      </c>
      <c r="C27">
        <v>169.240005</v>
      </c>
      <c r="D27">
        <v>165.25</v>
      </c>
      <c r="E27">
        <v>166.38000500000001</v>
      </c>
      <c r="F27">
        <v>166.38000500000001</v>
      </c>
      <c r="G27">
        <v>17517600</v>
      </c>
      <c r="H27" s="2">
        <f t="shared" si="0"/>
        <v>-2.4106985039973328E-2</v>
      </c>
      <c r="I27" s="2">
        <f>VLOOKUP(A27,AAPL!A:H,8,)</f>
        <v>-1.8939393504605384E-2</v>
      </c>
      <c r="J27" s="3"/>
      <c r="K27" s="3"/>
      <c r="L27" s="3"/>
      <c r="M27" s="3"/>
      <c r="N27" s="3"/>
      <c r="O27" s="3"/>
      <c r="P27" s="3"/>
      <c r="Q27" s="3"/>
    </row>
    <row r="28" spans="1:17" x14ac:dyDescent="0.35">
      <c r="A28" s="1">
        <v>43504</v>
      </c>
      <c r="B28">
        <v>164.470001</v>
      </c>
      <c r="C28">
        <v>167.36999499999999</v>
      </c>
      <c r="D28">
        <v>164.21000699999999</v>
      </c>
      <c r="E28">
        <v>167.33000200000001</v>
      </c>
      <c r="F28">
        <v>167.33000200000001</v>
      </c>
      <c r="G28">
        <v>12561400</v>
      </c>
      <c r="H28" s="2">
        <f t="shared" si="0"/>
        <v>5.7098026893316334E-3</v>
      </c>
      <c r="I28" s="2">
        <f>VLOOKUP(A28,AAPL!A:H,8,)</f>
        <v>-3.1005030279512846E-3</v>
      </c>
      <c r="J28" s="3"/>
      <c r="K28" s="3"/>
      <c r="L28" s="3"/>
      <c r="M28" s="3"/>
      <c r="N28" s="3"/>
      <c r="O28" s="3"/>
      <c r="P28" s="3"/>
      <c r="Q28" s="3"/>
    </row>
    <row r="29" spans="1:17" x14ac:dyDescent="0.35">
      <c r="A29" s="1">
        <v>43507</v>
      </c>
      <c r="B29">
        <v>167.89999399999999</v>
      </c>
      <c r="C29">
        <v>168.300003</v>
      </c>
      <c r="D29">
        <v>165.08000200000001</v>
      </c>
      <c r="E29">
        <v>165.78999300000001</v>
      </c>
      <c r="F29">
        <v>165.78999300000001</v>
      </c>
      <c r="G29">
        <v>12811200</v>
      </c>
      <c r="H29" s="2">
        <f t="shared" si="0"/>
        <v>-9.2034242610000705E-3</v>
      </c>
      <c r="I29" s="2">
        <f>VLOOKUP(A29,AAPL!A:H,8,)</f>
        <v>-5.7509065019445416E-3</v>
      </c>
      <c r="J29" s="3"/>
      <c r="K29" s="3"/>
      <c r="L29" s="3"/>
      <c r="M29" s="3"/>
      <c r="N29" s="3"/>
      <c r="O29" s="3"/>
      <c r="P29" s="3"/>
      <c r="Q29" s="3"/>
    </row>
    <row r="30" spans="1:17" x14ac:dyDescent="0.35">
      <c r="A30" s="1">
        <v>43508</v>
      </c>
      <c r="B30">
        <v>166.86000100000001</v>
      </c>
      <c r="C30">
        <v>168.33999600000001</v>
      </c>
      <c r="D30">
        <v>164.5</v>
      </c>
      <c r="E30">
        <v>165.03999300000001</v>
      </c>
      <c r="F30">
        <v>165.03999300000001</v>
      </c>
      <c r="G30">
        <v>16292300</v>
      </c>
      <c r="H30" s="2">
        <f t="shared" si="0"/>
        <v>-4.5237953535591791E-3</v>
      </c>
      <c r="I30" s="2">
        <f>VLOOKUP(A30,AAPL!A:H,8,)</f>
        <v>8.6171756414885614E-3</v>
      </c>
      <c r="J30" s="3"/>
      <c r="K30" s="3"/>
      <c r="L30" s="3"/>
      <c r="M30" s="3"/>
      <c r="N30" s="3"/>
      <c r="O30" s="3"/>
      <c r="P30" s="3"/>
      <c r="Q30" s="3"/>
    </row>
    <row r="31" spans="1:17" x14ac:dyDescent="0.35">
      <c r="A31" s="1">
        <v>43509</v>
      </c>
      <c r="B31">
        <v>165.38000500000001</v>
      </c>
      <c r="C31">
        <v>166.220001</v>
      </c>
      <c r="D31">
        <v>163.729996</v>
      </c>
      <c r="E31">
        <v>164.070007</v>
      </c>
      <c r="F31">
        <v>164.070007</v>
      </c>
      <c r="G31">
        <v>14205100</v>
      </c>
      <c r="H31" s="2">
        <f t="shared" si="0"/>
        <v>-5.8772784848579729E-3</v>
      </c>
      <c r="I31" s="2">
        <f>VLOOKUP(A31,AAPL!A:H,8,)</f>
        <v>-4.1547662238866634E-3</v>
      </c>
      <c r="J31" s="3"/>
      <c r="K31" s="3"/>
      <c r="L31" s="3"/>
      <c r="M31" s="3"/>
      <c r="N31" s="3"/>
      <c r="O31" s="3"/>
      <c r="P31" s="3"/>
      <c r="Q31" s="3"/>
    </row>
    <row r="32" spans="1:17" x14ac:dyDescent="0.35">
      <c r="A32" s="1">
        <v>43510</v>
      </c>
      <c r="B32">
        <v>163.19000199999999</v>
      </c>
      <c r="C32">
        <v>164.86999499999999</v>
      </c>
      <c r="D32">
        <v>162.25</v>
      </c>
      <c r="E32">
        <v>163.949997</v>
      </c>
      <c r="F32">
        <v>163.949997</v>
      </c>
      <c r="G32">
        <v>12755200</v>
      </c>
      <c r="H32" s="2">
        <f t="shared" si="0"/>
        <v>-7.3145605460966934E-4</v>
      </c>
      <c r="I32" s="2">
        <f>VLOOKUP(A32,AAPL!A:H,8,)</f>
        <v>3.6432720010939335E-3</v>
      </c>
      <c r="J32" s="3"/>
      <c r="K32" s="3"/>
      <c r="L32" s="3"/>
      <c r="M32" s="3"/>
      <c r="N32" s="3"/>
      <c r="O32" s="3"/>
      <c r="P32" s="3"/>
      <c r="Q32" s="3"/>
    </row>
    <row r="33" spans="1:17" x14ac:dyDescent="0.35">
      <c r="A33" s="1">
        <v>43511</v>
      </c>
      <c r="B33">
        <v>164.509995</v>
      </c>
      <c r="C33">
        <v>164.699997</v>
      </c>
      <c r="D33">
        <v>160.86000100000001</v>
      </c>
      <c r="E33">
        <v>162.5</v>
      </c>
      <c r="F33">
        <v>162.5</v>
      </c>
      <c r="G33">
        <v>15504400</v>
      </c>
      <c r="H33" s="2">
        <f t="shared" si="0"/>
        <v>-8.8441416683893159E-3</v>
      </c>
      <c r="I33" s="2">
        <f>VLOOKUP(A33,AAPL!A:H,8,)</f>
        <v>-2.2248477230715213E-3</v>
      </c>
      <c r="J33" s="3"/>
      <c r="K33" s="3"/>
      <c r="L33" s="3"/>
      <c r="M33" s="3"/>
      <c r="N33" s="3"/>
      <c r="O33" s="3"/>
      <c r="P33" s="3"/>
      <c r="Q33" s="3"/>
    </row>
    <row r="34" spans="1:17" x14ac:dyDescent="0.35">
      <c r="A34" s="1">
        <v>43515</v>
      </c>
      <c r="B34">
        <v>160.5</v>
      </c>
      <c r="C34">
        <v>164.14999399999999</v>
      </c>
      <c r="D34">
        <v>160.33000200000001</v>
      </c>
      <c r="E34">
        <v>162.28999300000001</v>
      </c>
      <c r="F34">
        <v>162.28999300000001</v>
      </c>
      <c r="G34">
        <v>14345400</v>
      </c>
      <c r="H34" s="2">
        <f t="shared" si="0"/>
        <v>-1.2923507692307323E-3</v>
      </c>
      <c r="I34" s="2">
        <f>VLOOKUP(A34,AAPL!A:H,8,)</f>
        <v>2.9925595587372289E-3</v>
      </c>
      <c r="J34" s="3"/>
      <c r="K34" s="3"/>
      <c r="L34" s="3"/>
      <c r="M34" s="3"/>
      <c r="N34" s="3"/>
      <c r="O34" s="3"/>
      <c r="P34" s="3"/>
      <c r="Q34" s="3"/>
    </row>
    <row r="35" spans="1:17" x14ac:dyDescent="0.35">
      <c r="A35" s="1">
        <v>43516</v>
      </c>
      <c r="B35">
        <v>162.25</v>
      </c>
      <c r="C35">
        <v>163.720001</v>
      </c>
      <c r="D35">
        <v>161.25</v>
      </c>
      <c r="E35">
        <v>162.55999800000001</v>
      </c>
      <c r="F35">
        <v>162.55999800000001</v>
      </c>
      <c r="G35">
        <v>11770700</v>
      </c>
      <c r="H35" s="2">
        <f t="shared" si="0"/>
        <v>1.6637193397377459E-3</v>
      </c>
      <c r="I35" s="2">
        <f>VLOOKUP(A35,AAPL!A:H,8,)</f>
        <v>6.4354300092637207E-3</v>
      </c>
      <c r="J35" s="3"/>
      <c r="K35" s="3"/>
      <c r="L35" s="3"/>
      <c r="M35" s="3"/>
      <c r="N35" s="3"/>
      <c r="O35" s="3"/>
      <c r="P35" s="3"/>
      <c r="Q35" s="3"/>
    </row>
    <row r="36" spans="1:17" x14ac:dyDescent="0.35">
      <c r="A36" s="1">
        <v>43517</v>
      </c>
      <c r="B36">
        <v>161.929993</v>
      </c>
      <c r="C36">
        <v>162.240005</v>
      </c>
      <c r="D36">
        <v>159.58999600000001</v>
      </c>
      <c r="E36">
        <v>160.03999300000001</v>
      </c>
      <c r="F36">
        <v>160.03999300000001</v>
      </c>
      <c r="G36">
        <v>15607800</v>
      </c>
      <c r="H36" s="2">
        <f t="shared" si="0"/>
        <v>-1.5501999452534387E-2</v>
      </c>
      <c r="I36" s="2">
        <f>VLOOKUP(A36,AAPL!A:H,8,)</f>
        <v>-5.6385746672091841E-3</v>
      </c>
      <c r="J36" s="3"/>
      <c r="K36" s="3"/>
      <c r="L36" s="3"/>
      <c r="M36" s="3"/>
      <c r="N36" s="3"/>
      <c r="O36" s="3"/>
      <c r="P36" s="3"/>
      <c r="Q36" s="3"/>
    </row>
    <row r="37" spans="1:17" x14ac:dyDescent="0.35">
      <c r="A37" s="1">
        <v>43518</v>
      </c>
      <c r="B37">
        <v>160.58000200000001</v>
      </c>
      <c r="C37">
        <v>162.41000399999999</v>
      </c>
      <c r="D37">
        <v>160.30999800000001</v>
      </c>
      <c r="E37">
        <v>161.88999899999999</v>
      </c>
      <c r="F37">
        <v>161.88999899999999</v>
      </c>
      <c r="G37">
        <v>15858500</v>
      </c>
      <c r="H37" s="2">
        <f t="shared" si="0"/>
        <v>1.1559648093711017E-2</v>
      </c>
      <c r="I37" s="2">
        <f>VLOOKUP(A37,AAPL!A:H,8,)</f>
        <v>1.1165696508025125E-2</v>
      </c>
      <c r="J37" s="3"/>
      <c r="K37" s="3"/>
      <c r="L37" s="3"/>
      <c r="M37" s="3"/>
      <c r="N37" s="3"/>
      <c r="O37" s="3"/>
      <c r="P37" s="3"/>
      <c r="Q37" s="3"/>
    </row>
    <row r="38" spans="1:17" x14ac:dyDescent="0.35">
      <c r="A38" s="1">
        <v>43521</v>
      </c>
      <c r="B38">
        <v>163.070007</v>
      </c>
      <c r="C38">
        <v>166.070007</v>
      </c>
      <c r="D38">
        <v>162.89999399999999</v>
      </c>
      <c r="E38">
        <v>164.61999499999999</v>
      </c>
      <c r="F38">
        <v>164.61999499999999</v>
      </c>
      <c r="G38">
        <v>18737100</v>
      </c>
      <c r="H38" s="2">
        <f t="shared" si="0"/>
        <v>1.6863277638293095E-2</v>
      </c>
      <c r="I38" s="2">
        <f>VLOOKUP(A38,AAPL!A:H,8,)</f>
        <v>7.2844770769497913E-3</v>
      </c>
      <c r="J38" s="3"/>
      <c r="K38" s="3"/>
      <c r="L38" s="3"/>
      <c r="M38" s="3"/>
      <c r="N38" s="3"/>
      <c r="O38" s="3"/>
      <c r="P38" s="3"/>
      <c r="Q38" s="3"/>
    </row>
    <row r="39" spans="1:17" x14ac:dyDescent="0.35">
      <c r="A39" s="1">
        <v>43522</v>
      </c>
      <c r="B39">
        <v>164.33999600000001</v>
      </c>
      <c r="C39">
        <v>166.240005</v>
      </c>
      <c r="D39">
        <v>163.800003</v>
      </c>
      <c r="E39">
        <v>164.13000500000001</v>
      </c>
      <c r="F39">
        <v>164.13000500000001</v>
      </c>
      <c r="G39">
        <v>13784100</v>
      </c>
      <c r="H39" s="2">
        <f t="shared" si="0"/>
        <v>-2.9764914037324619E-3</v>
      </c>
      <c r="I39" s="2">
        <f>VLOOKUP(A39,AAPL!A:H,8,)</f>
        <v>5.7397694022798262E-4</v>
      </c>
      <c r="J39" s="3"/>
      <c r="K39" s="3"/>
      <c r="L39" s="3"/>
      <c r="M39" s="3"/>
      <c r="N39" s="3"/>
      <c r="O39" s="3"/>
      <c r="P39" s="3"/>
      <c r="Q39" s="3"/>
    </row>
    <row r="40" spans="1:17" x14ac:dyDescent="0.35">
      <c r="A40" s="1">
        <v>43523</v>
      </c>
      <c r="B40">
        <v>162.89999399999999</v>
      </c>
      <c r="C40">
        <v>163.929993</v>
      </c>
      <c r="D40">
        <v>160.41000399999999</v>
      </c>
      <c r="E40">
        <v>162.80999800000001</v>
      </c>
      <c r="F40">
        <v>162.80999800000001</v>
      </c>
      <c r="G40">
        <v>12697500</v>
      </c>
      <c r="H40" s="2">
        <f t="shared" si="0"/>
        <v>-8.0424478144627276E-3</v>
      </c>
      <c r="I40" s="2">
        <f>VLOOKUP(A40,AAPL!A:H,8,)</f>
        <v>3.0975506223827054E-3</v>
      </c>
      <c r="J40" s="3"/>
      <c r="K40" s="3"/>
      <c r="L40" s="3"/>
      <c r="M40" s="3"/>
      <c r="N40" s="3"/>
      <c r="O40" s="3"/>
      <c r="P40" s="3"/>
      <c r="Q40" s="3"/>
    </row>
    <row r="41" spans="1:17" x14ac:dyDescent="0.35">
      <c r="A41" s="1">
        <v>43524</v>
      </c>
      <c r="B41">
        <v>162.36999499999999</v>
      </c>
      <c r="C41">
        <v>163.5</v>
      </c>
      <c r="D41">
        <v>160.86000100000001</v>
      </c>
      <c r="E41">
        <v>161.449997</v>
      </c>
      <c r="F41">
        <v>161.449997</v>
      </c>
      <c r="G41">
        <v>11114200</v>
      </c>
      <c r="H41" s="2">
        <f t="shared" si="0"/>
        <v>-8.3533014968774078E-3</v>
      </c>
      <c r="I41" s="2">
        <f>VLOOKUP(A41,AAPL!A:H,8,)</f>
        <v>-9.8359011799827867E-3</v>
      </c>
      <c r="J41" s="3"/>
      <c r="K41" s="3"/>
      <c r="L41" s="3"/>
      <c r="M41" s="3"/>
      <c r="N41" s="3"/>
      <c r="O41" s="3"/>
      <c r="P41" s="3"/>
      <c r="Q41" s="3"/>
    </row>
    <row r="42" spans="1:17" x14ac:dyDescent="0.35">
      <c r="A42" s="1">
        <v>43525</v>
      </c>
      <c r="B42">
        <v>162.60000600000001</v>
      </c>
      <c r="C42">
        <v>163.13000500000001</v>
      </c>
      <c r="D42">
        <v>161.69000199999999</v>
      </c>
      <c r="E42">
        <v>162.279999</v>
      </c>
      <c r="F42">
        <v>162.279999</v>
      </c>
      <c r="G42">
        <v>11097800</v>
      </c>
      <c r="H42" s="2">
        <f t="shared" si="0"/>
        <v>5.1409229818690783E-3</v>
      </c>
      <c r="I42" s="2">
        <f>VLOOKUP(A42,AAPL!A:H,8,)</f>
        <v>1.0511164216513436E-2</v>
      </c>
      <c r="J42" s="3"/>
      <c r="K42" s="3"/>
      <c r="L42" s="3"/>
      <c r="M42" s="3"/>
      <c r="N42" s="3"/>
      <c r="O42" s="3"/>
      <c r="P42" s="3"/>
      <c r="Q42" s="3"/>
    </row>
    <row r="43" spans="1:17" x14ac:dyDescent="0.35">
      <c r="A43" s="1">
        <v>43528</v>
      </c>
      <c r="B43">
        <v>163.89999399999999</v>
      </c>
      <c r="C43">
        <v>167.5</v>
      </c>
      <c r="D43">
        <v>163.83000200000001</v>
      </c>
      <c r="E43">
        <v>167.36999499999999</v>
      </c>
      <c r="F43">
        <v>167.36999499999999</v>
      </c>
      <c r="G43">
        <v>18894700</v>
      </c>
      <c r="H43" s="2">
        <f t="shared" si="0"/>
        <v>3.1365516584702435E-2</v>
      </c>
      <c r="I43" s="2">
        <f>VLOOKUP(A43,AAPL!A:H,8,)</f>
        <v>5.0294793393153014E-3</v>
      </c>
      <c r="J43" s="3"/>
      <c r="K43" s="3"/>
      <c r="L43" s="3"/>
      <c r="M43" s="3"/>
      <c r="N43" s="3"/>
      <c r="O43" s="3"/>
      <c r="P43" s="3"/>
      <c r="Q43" s="3"/>
    </row>
    <row r="44" spans="1:17" x14ac:dyDescent="0.35">
      <c r="A44" s="1">
        <v>43529</v>
      </c>
      <c r="B44">
        <v>167.36999499999999</v>
      </c>
      <c r="C44">
        <v>171.88000500000001</v>
      </c>
      <c r="D44">
        <v>166.550003</v>
      </c>
      <c r="E44">
        <v>171.259995</v>
      </c>
      <c r="F44">
        <v>171.259995</v>
      </c>
      <c r="G44">
        <v>28187900</v>
      </c>
      <c r="H44" s="2">
        <f t="shared" si="0"/>
        <v>2.3241919795719657E-2</v>
      </c>
      <c r="I44" s="2">
        <f>VLOOKUP(A44,AAPL!A:H,8,)</f>
        <v>-1.8197781372861765E-3</v>
      </c>
      <c r="J44" s="3"/>
      <c r="K44" s="3"/>
      <c r="L44" s="3"/>
      <c r="M44" s="3"/>
      <c r="N44" s="3"/>
      <c r="O44" s="3"/>
      <c r="P44" s="3"/>
      <c r="Q44" s="3"/>
    </row>
    <row r="45" spans="1:17" x14ac:dyDescent="0.35">
      <c r="A45" s="1">
        <v>43530</v>
      </c>
      <c r="B45">
        <v>172.89999399999999</v>
      </c>
      <c r="C45">
        <v>173.570007</v>
      </c>
      <c r="D45">
        <v>171.270004</v>
      </c>
      <c r="E45">
        <v>172.509995</v>
      </c>
      <c r="F45">
        <v>172.509995</v>
      </c>
      <c r="G45">
        <v>21531700</v>
      </c>
      <c r="H45" s="2">
        <f t="shared" si="0"/>
        <v>7.2988440762244977E-3</v>
      </c>
      <c r="I45" s="2">
        <f>VLOOKUP(A45,AAPL!A:H,8,)</f>
        <v>-5.7539793767447112E-3</v>
      </c>
    </row>
    <row r="46" spans="1:17" x14ac:dyDescent="0.35">
      <c r="A46" s="1">
        <v>43531</v>
      </c>
      <c r="B46">
        <v>171.5</v>
      </c>
      <c r="C46">
        <v>171.740005</v>
      </c>
      <c r="D46">
        <v>167.61000100000001</v>
      </c>
      <c r="E46">
        <v>169.13000500000001</v>
      </c>
      <c r="F46">
        <v>169.13000500000001</v>
      </c>
      <c r="G46">
        <v>18306500</v>
      </c>
      <c r="H46" s="2">
        <f t="shared" si="0"/>
        <v>-1.9593009668802064E-2</v>
      </c>
      <c r="I46" s="2">
        <f>VLOOKUP(A46,AAPL!A:H,8,)</f>
        <v>-1.157462728456049E-2</v>
      </c>
    </row>
    <row r="47" spans="1:17" x14ac:dyDescent="0.35">
      <c r="A47" s="1">
        <v>43532</v>
      </c>
      <c r="B47">
        <v>166.199997</v>
      </c>
      <c r="C47">
        <v>169.61999499999999</v>
      </c>
      <c r="D47">
        <v>165.970001</v>
      </c>
      <c r="E47">
        <v>169.60000600000001</v>
      </c>
      <c r="F47">
        <v>169.60000600000001</v>
      </c>
      <c r="G47">
        <v>13184800</v>
      </c>
      <c r="H47" s="2">
        <f t="shared" si="0"/>
        <v>2.7789332827135027E-3</v>
      </c>
      <c r="I47" s="2">
        <f>VLOOKUP(A47,AAPL!A:H,8,)</f>
        <v>2.3768347826085279E-3</v>
      </c>
    </row>
    <row r="48" spans="1:17" x14ac:dyDescent="0.35">
      <c r="A48" s="1">
        <v>43535</v>
      </c>
      <c r="B48">
        <v>171.60000600000001</v>
      </c>
      <c r="C48">
        <v>174.300003</v>
      </c>
      <c r="D48">
        <v>171.58000200000001</v>
      </c>
      <c r="E48">
        <v>172.070007</v>
      </c>
      <c r="F48">
        <v>172.070007</v>
      </c>
      <c r="G48">
        <v>18884000</v>
      </c>
      <c r="H48" s="2">
        <f t="shared" si="0"/>
        <v>1.4563684626284656E-2</v>
      </c>
      <c r="I48" s="2">
        <f>VLOOKUP(A48,AAPL!A:H,8,)</f>
        <v>3.4642229260488655E-2</v>
      </c>
    </row>
    <row r="49" spans="1:9" x14ac:dyDescent="0.35">
      <c r="A49" s="1">
        <v>43536</v>
      </c>
      <c r="B49">
        <v>172.08999600000001</v>
      </c>
      <c r="C49">
        <v>173.800003</v>
      </c>
      <c r="D49">
        <v>171.220001</v>
      </c>
      <c r="E49">
        <v>171.91999799999999</v>
      </c>
      <c r="F49">
        <v>171.91999799999999</v>
      </c>
      <c r="G49">
        <v>12155300</v>
      </c>
      <c r="H49" s="2">
        <f t="shared" si="0"/>
        <v>-8.7179051489205683E-4</v>
      </c>
      <c r="I49" s="2">
        <f>VLOOKUP(A49,AAPL!A:H,8,)</f>
        <v>1.1235394577323365E-2</v>
      </c>
    </row>
    <row r="50" spans="1:9" x14ac:dyDescent="0.35">
      <c r="A50" s="1">
        <v>43537</v>
      </c>
      <c r="B50">
        <v>172.320007</v>
      </c>
      <c r="C50">
        <v>174.029999</v>
      </c>
      <c r="D50">
        <v>172.11999499999999</v>
      </c>
      <c r="E50">
        <v>173.36999499999999</v>
      </c>
      <c r="F50">
        <v>173.36999499999999</v>
      </c>
      <c r="G50">
        <v>11973300</v>
      </c>
      <c r="H50" s="2">
        <f t="shared" si="0"/>
        <v>8.4341380692662948E-3</v>
      </c>
      <c r="I50" s="2">
        <f>VLOOKUP(A50,AAPL!A:H,8,)</f>
        <v>4.4221103438812914E-3</v>
      </c>
    </row>
    <row r="51" spans="1:9" x14ac:dyDescent="0.35">
      <c r="A51" s="1">
        <v>43538</v>
      </c>
      <c r="B51">
        <v>169.759995</v>
      </c>
      <c r="C51">
        <v>171.14999399999999</v>
      </c>
      <c r="D51">
        <v>168.16000399999999</v>
      </c>
      <c r="E51">
        <v>170.16999799999999</v>
      </c>
      <c r="F51">
        <v>170.16999799999999</v>
      </c>
      <c r="G51">
        <v>18037400</v>
      </c>
      <c r="H51" s="2">
        <f t="shared" si="0"/>
        <v>-1.8457617190333342E-2</v>
      </c>
      <c r="I51" s="2">
        <f>VLOOKUP(A51,AAPL!A:H,8,)</f>
        <v>1.1116547856846681E-2</v>
      </c>
    </row>
    <row r="52" spans="1:9" x14ac:dyDescent="0.35">
      <c r="A52" s="1">
        <v>43539</v>
      </c>
      <c r="B52">
        <v>167.16000399999999</v>
      </c>
      <c r="C52">
        <v>167.58000200000001</v>
      </c>
      <c r="D52">
        <v>162.509995</v>
      </c>
      <c r="E52">
        <v>165.979996</v>
      </c>
      <c r="F52">
        <v>165.979996</v>
      </c>
      <c r="G52">
        <v>37135400</v>
      </c>
      <c r="H52" s="2">
        <f t="shared" si="0"/>
        <v>-2.462244842948158E-2</v>
      </c>
      <c r="I52" s="2">
        <f>VLOOKUP(A52,AAPL!A:H,8,)</f>
        <v>1.3008218864817289E-2</v>
      </c>
    </row>
    <row r="53" spans="1:9" x14ac:dyDescent="0.35">
      <c r="A53" s="1">
        <v>43542</v>
      </c>
      <c r="B53">
        <v>163.570007</v>
      </c>
      <c r="C53">
        <v>163.89999399999999</v>
      </c>
      <c r="D53">
        <v>159.279999</v>
      </c>
      <c r="E53">
        <v>160.470001</v>
      </c>
      <c r="F53">
        <v>160.470001</v>
      </c>
      <c r="G53">
        <v>37524200</v>
      </c>
      <c r="H53" s="2">
        <f t="shared" si="0"/>
        <v>-3.3196741371171012E-2</v>
      </c>
      <c r="I53" s="2">
        <f>VLOOKUP(A53,AAPL!A:H,8,)</f>
        <v>1.0208510857694364E-2</v>
      </c>
    </row>
    <row r="54" spans="1:9" x14ac:dyDescent="0.35">
      <c r="A54" s="1">
        <v>43543</v>
      </c>
      <c r="B54">
        <v>161.479996</v>
      </c>
      <c r="C54">
        <v>163.820007</v>
      </c>
      <c r="D54">
        <v>160.820007</v>
      </c>
      <c r="E54">
        <v>161.570007</v>
      </c>
      <c r="F54">
        <v>161.570007</v>
      </c>
      <c r="G54">
        <v>25611500</v>
      </c>
      <c r="H54" s="2">
        <f t="shared" si="0"/>
        <v>6.8549011849261543E-3</v>
      </c>
      <c r="I54" s="2">
        <f>VLOOKUP(A54,AAPL!A:H,8,)</f>
        <v>-7.9247099686264866E-3</v>
      </c>
    </row>
    <row r="55" spans="1:9" x14ac:dyDescent="0.35">
      <c r="A55" s="1">
        <v>43544</v>
      </c>
      <c r="B55">
        <v>161.5</v>
      </c>
      <c r="C55">
        <v>166.11999499999999</v>
      </c>
      <c r="D55">
        <v>161.240005</v>
      </c>
      <c r="E55">
        <v>165.44000199999999</v>
      </c>
      <c r="F55">
        <v>165.44000199999999</v>
      </c>
      <c r="G55">
        <v>20211500</v>
      </c>
      <c r="H55" s="2">
        <f t="shared" si="0"/>
        <v>2.3952434439146852E-2</v>
      </c>
      <c r="I55" s="2">
        <f>VLOOKUP(A55,AAPL!A:H,8,)</f>
        <v>8.7385621615825304E-3</v>
      </c>
    </row>
    <row r="56" spans="1:9" x14ac:dyDescent="0.35">
      <c r="A56" s="1">
        <v>43545</v>
      </c>
      <c r="B56">
        <v>164.88999899999999</v>
      </c>
      <c r="C56">
        <v>166.38999899999999</v>
      </c>
      <c r="D56">
        <v>163.75</v>
      </c>
      <c r="E56">
        <v>166.08000200000001</v>
      </c>
      <c r="F56">
        <v>166.08000200000001</v>
      </c>
      <c r="G56">
        <v>16223000</v>
      </c>
      <c r="H56" s="2">
        <f t="shared" si="0"/>
        <v>3.8684719068124984E-3</v>
      </c>
      <c r="I56" s="2">
        <f>VLOOKUP(A56,AAPL!A:H,8,)</f>
        <v>3.6830313842893148E-2</v>
      </c>
    </row>
    <row r="57" spans="1:9" x14ac:dyDescent="0.35">
      <c r="A57" s="1">
        <v>43546</v>
      </c>
      <c r="B57">
        <v>165.64999399999999</v>
      </c>
      <c r="C57">
        <v>167.41999799999999</v>
      </c>
      <c r="D57">
        <v>164.08999600000001</v>
      </c>
      <c r="E57">
        <v>164.33999600000001</v>
      </c>
      <c r="F57">
        <v>164.33999600000001</v>
      </c>
      <c r="G57">
        <v>16389200</v>
      </c>
      <c r="H57" s="2">
        <f t="shared" si="0"/>
        <v>-1.0476914613717248E-2</v>
      </c>
      <c r="I57" s="2">
        <f>VLOOKUP(A57,AAPL!A:H,8,)</f>
        <v>-2.0708350416901999E-2</v>
      </c>
    </row>
    <row r="58" spans="1:9" x14ac:dyDescent="0.35">
      <c r="A58" s="1">
        <v>43549</v>
      </c>
      <c r="B58">
        <v>163</v>
      </c>
      <c r="C58">
        <v>166.53999300000001</v>
      </c>
      <c r="D58">
        <v>162</v>
      </c>
      <c r="E58">
        <v>166.28999300000001</v>
      </c>
      <c r="F58">
        <v>166.28999300000001</v>
      </c>
      <c r="G58">
        <v>12631200</v>
      </c>
      <c r="H58" s="2">
        <f t="shared" si="0"/>
        <v>1.18656264297341E-2</v>
      </c>
      <c r="I58" s="2">
        <f>VLOOKUP(A58,AAPL!A:H,8,)</f>
        <v>-1.2091075381500671E-2</v>
      </c>
    </row>
    <row r="59" spans="1:9" x14ac:dyDescent="0.35">
      <c r="A59" s="1">
        <v>43550</v>
      </c>
      <c r="B59">
        <v>167.35000600000001</v>
      </c>
      <c r="C59">
        <v>169.449997</v>
      </c>
      <c r="D59">
        <v>166.35000600000001</v>
      </c>
      <c r="E59">
        <v>167.679993</v>
      </c>
      <c r="F59">
        <v>167.679993</v>
      </c>
      <c r="G59">
        <v>15437900</v>
      </c>
      <c r="H59" s="2">
        <f t="shared" si="0"/>
        <v>8.358891445740646E-3</v>
      </c>
      <c r="I59" s="2">
        <f>VLOOKUP(A59,AAPL!A:H,8,)</f>
        <v>-1.0331736561794203E-2</v>
      </c>
    </row>
    <row r="60" spans="1:9" x14ac:dyDescent="0.35">
      <c r="A60" s="1">
        <v>43551</v>
      </c>
      <c r="B60">
        <v>167.85000600000001</v>
      </c>
      <c r="C60">
        <v>168.94000199999999</v>
      </c>
      <c r="D60">
        <v>164.78999300000001</v>
      </c>
      <c r="E60">
        <v>165.86999499999999</v>
      </c>
      <c r="F60">
        <v>165.86999499999999</v>
      </c>
      <c r="G60">
        <v>10620300</v>
      </c>
      <c r="H60" s="2">
        <f t="shared" si="0"/>
        <v>-1.0794358752150068E-2</v>
      </c>
      <c r="I60" s="2">
        <f>VLOOKUP(A60,AAPL!A:H,8,)</f>
        <v>8.9941007117768645E-3</v>
      </c>
    </row>
    <row r="61" spans="1:9" x14ac:dyDescent="0.35">
      <c r="A61" s="1">
        <v>43552</v>
      </c>
      <c r="B61">
        <v>164.570007</v>
      </c>
      <c r="C61">
        <v>166.720001</v>
      </c>
      <c r="D61">
        <v>163.33000200000001</v>
      </c>
      <c r="E61">
        <v>165.550003</v>
      </c>
      <c r="F61">
        <v>165.550003</v>
      </c>
      <c r="G61">
        <v>10443000</v>
      </c>
      <c r="H61" s="2">
        <f t="shared" si="0"/>
        <v>-1.9291735072397564E-3</v>
      </c>
      <c r="I61" s="2">
        <f>VLOOKUP(A61,AAPL!A:H,8,)</f>
        <v>1.3264710564016013E-3</v>
      </c>
    </row>
    <row r="62" spans="1:9" x14ac:dyDescent="0.35">
      <c r="A62" s="1">
        <v>43553</v>
      </c>
      <c r="B62">
        <v>166.38999899999999</v>
      </c>
      <c r="C62">
        <v>167.19000199999999</v>
      </c>
      <c r="D62">
        <v>164.80999800000001</v>
      </c>
      <c r="E62">
        <v>166.69000199999999</v>
      </c>
      <c r="F62">
        <v>166.69000199999999</v>
      </c>
      <c r="G62">
        <v>13455500</v>
      </c>
      <c r="H62" s="2">
        <f t="shared" si="0"/>
        <v>6.886130953437597E-3</v>
      </c>
      <c r="I62" s="2">
        <f>VLOOKUP(A62,AAPL!A:H,8,)</f>
        <v>6.517571004662992E-3</v>
      </c>
    </row>
    <row r="63" spans="1:9" x14ac:dyDescent="0.35">
      <c r="A63" s="1">
        <v>43556</v>
      </c>
      <c r="B63">
        <v>167.83000200000001</v>
      </c>
      <c r="C63">
        <v>168.89999399999999</v>
      </c>
      <c r="D63">
        <v>167.279999</v>
      </c>
      <c r="E63">
        <v>168.699997</v>
      </c>
      <c r="F63">
        <v>168.699997</v>
      </c>
      <c r="G63">
        <v>10381500</v>
      </c>
      <c r="H63" s="2">
        <f t="shared" si="0"/>
        <v>1.2058281695863204E-2</v>
      </c>
      <c r="I63" s="2">
        <f>VLOOKUP(A63,AAPL!A:H,8,)</f>
        <v>6.7913031174793304E-3</v>
      </c>
    </row>
    <row r="64" spans="1:9" x14ac:dyDescent="0.35">
      <c r="A64" s="1">
        <v>43557</v>
      </c>
      <c r="B64">
        <v>170.13999899999999</v>
      </c>
      <c r="C64">
        <v>174.89999399999999</v>
      </c>
      <c r="D64">
        <v>169.550003</v>
      </c>
      <c r="E64">
        <v>174.199997</v>
      </c>
      <c r="F64">
        <v>174.199997</v>
      </c>
      <c r="G64">
        <v>23946500</v>
      </c>
      <c r="H64" s="2">
        <f t="shared" si="0"/>
        <v>3.2602253099032419E-2</v>
      </c>
      <c r="I64" s="2">
        <f>VLOOKUP(A64,AAPL!A:H,8,)</f>
        <v>1.4536707497663448E-2</v>
      </c>
    </row>
    <row r="65" spans="1:9" x14ac:dyDescent="0.35">
      <c r="A65" s="1">
        <v>43558</v>
      </c>
      <c r="B65">
        <v>174.5</v>
      </c>
      <c r="C65">
        <v>177.96000699999999</v>
      </c>
      <c r="D65">
        <v>172.949997</v>
      </c>
      <c r="E65">
        <v>173.53999300000001</v>
      </c>
      <c r="F65">
        <v>173.53999300000001</v>
      </c>
      <c r="G65">
        <v>27391100</v>
      </c>
      <c r="H65" s="2">
        <f t="shared" si="0"/>
        <v>-3.7887715922290122E-3</v>
      </c>
      <c r="I65" s="2">
        <f>VLOOKUP(A65,AAPL!A:H,8,)</f>
        <v>6.8549838809404129E-3</v>
      </c>
    </row>
    <row r="66" spans="1:9" x14ac:dyDescent="0.35">
      <c r="A66" s="1">
        <v>43559</v>
      </c>
      <c r="B66">
        <v>176.020004</v>
      </c>
      <c r="C66">
        <v>178</v>
      </c>
      <c r="D66">
        <v>175.529999</v>
      </c>
      <c r="E66">
        <v>176.020004</v>
      </c>
      <c r="F66">
        <v>176.020004</v>
      </c>
      <c r="G66">
        <v>17847700</v>
      </c>
      <c r="H66" s="2">
        <f t="shared" si="0"/>
        <v>1.4290717414054521E-2</v>
      </c>
      <c r="I66" s="2">
        <f>VLOOKUP(A66,AAPL!A:H,8,)</f>
        <v>1.7404452832168182E-3</v>
      </c>
    </row>
    <row r="67" spans="1:9" x14ac:dyDescent="0.35">
      <c r="A67" s="1">
        <v>43560</v>
      </c>
      <c r="B67">
        <v>176.88000500000001</v>
      </c>
      <c r="C67">
        <v>177</v>
      </c>
      <c r="D67">
        <v>175.10000600000001</v>
      </c>
      <c r="E67">
        <v>175.720001</v>
      </c>
      <c r="F67">
        <v>175.720001</v>
      </c>
      <c r="G67">
        <v>9594100</v>
      </c>
      <c r="H67" s="2">
        <f t="shared" si="0"/>
        <v>-1.704368782993626E-3</v>
      </c>
      <c r="I67" s="2">
        <f>VLOOKUP(A67,AAPL!A:H,8,)</f>
        <v>6.6942407543719717E-3</v>
      </c>
    </row>
    <row r="68" spans="1:9" x14ac:dyDescent="0.35">
      <c r="A68" s="1">
        <v>43563</v>
      </c>
      <c r="B68">
        <v>175.21000699999999</v>
      </c>
      <c r="C68">
        <v>175.5</v>
      </c>
      <c r="D68">
        <v>174.229996</v>
      </c>
      <c r="E68">
        <v>174.929993</v>
      </c>
      <c r="F68">
        <v>174.929993</v>
      </c>
      <c r="G68">
        <v>7297400</v>
      </c>
      <c r="H68" s="2">
        <f t="shared" ref="H68:H131" si="1">E68/E67-1</f>
        <v>-4.4958342562267939E-3</v>
      </c>
      <c r="I68" s="2">
        <f>VLOOKUP(A68,AAPL!A:H,8,)</f>
        <v>1.5736081218274078E-2</v>
      </c>
    </row>
    <row r="69" spans="1:9" x14ac:dyDescent="0.35">
      <c r="A69" s="1">
        <v>43564</v>
      </c>
      <c r="B69">
        <v>175.61999499999999</v>
      </c>
      <c r="C69">
        <v>179.19000199999999</v>
      </c>
      <c r="D69">
        <v>175.550003</v>
      </c>
      <c r="E69">
        <v>177.58000200000001</v>
      </c>
      <c r="F69">
        <v>177.58000200000001</v>
      </c>
      <c r="G69">
        <v>19751000</v>
      </c>
      <c r="H69" s="2">
        <f t="shared" si="1"/>
        <v>1.5148968764893356E-2</v>
      </c>
      <c r="I69" s="2">
        <f>VLOOKUP(A69,AAPL!A:H,8,)</f>
        <v>-2.9985406097534639E-3</v>
      </c>
    </row>
    <row r="70" spans="1:9" x14ac:dyDescent="0.35">
      <c r="A70" s="1">
        <v>43565</v>
      </c>
      <c r="B70">
        <v>178.179993</v>
      </c>
      <c r="C70">
        <v>178.78999300000001</v>
      </c>
      <c r="D70">
        <v>176.53999300000001</v>
      </c>
      <c r="E70">
        <v>177.820007</v>
      </c>
      <c r="F70">
        <v>177.820007</v>
      </c>
      <c r="G70">
        <v>11701500</v>
      </c>
      <c r="H70" s="2">
        <f t="shared" si="1"/>
        <v>1.3515316887990902E-3</v>
      </c>
      <c r="I70" s="2">
        <f>VLOOKUP(A70,AAPL!A:H,8,)</f>
        <v>5.6140150375938447E-3</v>
      </c>
    </row>
    <row r="71" spans="1:9" x14ac:dyDescent="0.35">
      <c r="A71" s="1">
        <v>43566</v>
      </c>
      <c r="B71">
        <v>178.240005</v>
      </c>
      <c r="C71">
        <v>178.39999399999999</v>
      </c>
      <c r="D71">
        <v>177</v>
      </c>
      <c r="E71">
        <v>177.509995</v>
      </c>
      <c r="F71">
        <v>177.509995</v>
      </c>
      <c r="G71">
        <v>8071000</v>
      </c>
      <c r="H71" s="2">
        <f t="shared" si="1"/>
        <v>-1.7434033730523435E-3</v>
      </c>
      <c r="I71" s="2">
        <f>VLOOKUP(A71,AAPL!A:H,8,)</f>
        <v>-8.3241951614831944E-3</v>
      </c>
    </row>
    <row r="72" spans="1:9" x14ac:dyDescent="0.35">
      <c r="A72" s="1">
        <v>43567</v>
      </c>
      <c r="B72">
        <v>178</v>
      </c>
      <c r="C72">
        <v>179.63000500000001</v>
      </c>
      <c r="D72">
        <v>177.949997</v>
      </c>
      <c r="E72">
        <v>179.10000600000001</v>
      </c>
      <c r="F72">
        <v>179.10000600000001</v>
      </c>
      <c r="G72">
        <v>12329800</v>
      </c>
      <c r="H72" s="2">
        <f t="shared" si="1"/>
        <v>8.957304066173899E-3</v>
      </c>
      <c r="I72" s="2">
        <f>VLOOKUP(A72,AAPL!A:H,8,)</f>
        <v>-4.0211109127141764E-4</v>
      </c>
    </row>
    <row r="73" spans="1:9" x14ac:dyDescent="0.35">
      <c r="A73" s="1">
        <v>43570</v>
      </c>
      <c r="B73">
        <v>178.5</v>
      </c>
      <c r="C73">
        <v>180.5</v>
      </c>
      <c r="D73">
        <v>176.86999499999999</v>
      </c>
      <c r="E73">
        <v>179.64999399999999</v>
      </c>
      <c r="F73">
        <v>179.64999399999999</v>
      </c>
      <c r="G73">
        <v>10834800</v>
      </c>
      <c r="H73" s="2">
        <f t="shared" si="1"/>
        <v>3.0708430015351507E-3</v>
      </c>
      <c r="I73" s="2">
        <f>VLOOKUP(A73,AAPL!A:H,8,)</f>
        <v>1.8102278234068958E-3</v>
      </c>
    </row>
    <row r="74" spans="1:9" x14ac:dyDescent="0.35">
      <c r="A74" s="1">
        <v>43571</v>
      </c>
      <c r="B74">
        <v>179</v>
      </c>
      <c r="C74">
        <v>180.16999799999999</v>
      </c>
      <c r="D74">
        <v>178.300003</v>
      </c>
      <c r="E74">
        <v>178.86999499999999</v>
      </c>
      <c r="F74">
        <v>178.86999499999999</v>
      </c>
      <c r="G74">
        <v>11215200</v>
      </c>
      <c r="H74" s="2">
        <f t="shared" si="1"/>
        <v>-4.3417702535520908E-3</v>
      </c>
      <c r="I74" s="2">
        <f>VLOOKUP(A74,AAPL!A:H,8,)</f>
        <v>1.0040656729226605E-4</v>
      </c>
    </row>
    <row r="75" spans="1:9" x14ac:dyDescent="0.35">
      <c r="A75" s="1">
        <v>43572</v>
      </c>
      <c r="B75">
        <v>179.60000600000001</v>
      </c>
      <c r="C75">
        <v>180.740005</v>
      </c>
      <c r="D75">
        <v>178.36000100000001</v>
      </c>
      <c r="E75">
        <v>178.779999</v>
      </c>
      <c r="F75">
        <v>178.779999</v>
      </c>
      <c r="G75">
        <v>9973700</v>
      </c>
      <c r="H75" s="2">
        <f t="shared" si="1"/>
        <v>-5.0313637007692869E-4</v>
      </c>
      <c r="I75" s="2">
        <f>VLOOKUP(A75,AAPL!A:H,8,)</f>
        <v>1.9473043914680188E-2</v>
      </c>
    </row>
    <row r="76" spans="1:9" x14ac:dyDescent="0.35">
      <c r="A76" s="1">
        <v>43573</v>
      </c>
      <c r="B76">
        <v>178.800003</v>
      </c>
      <c r="C76">
        <v>178.88000500000001</v>
      </c>
      <c r="D76">
        <v>177.33999600000001</v>
      </c>
      <c r="E76">
        <v>178.279999</v>
      </c>
      <c r="F76">
        <v>178.279999</v>
      </c>
      <c r="G76">
        <v>11655600</v>
      </c>
      <c r="H76" s="2">
        <f t="shared" si="1"/>
        <v>-2.7967334310142755E-3</v>
      </c>
      <c r="I76" s="2">
        <f>VLOOKUP(A76,AAPL!A:H,8,)</f>
        <v>3.5937379295281069E-3</v>
      </c>
    </row>
    <row r="77" spans="1:9" x14ac:dyDescent="0.35">
      <c r="A77" s="1">
        <v>43577</v>
      </c>
      <c r="B77">
        <v>178.25</v>
      </c>
      <c r="C77">
        <v>181.66999799999999</v>
      </c>
      <c r="D77">
        <v>178.25</v>
      </c>
      <c r="E77">
        <v>181.44000199999999</v>
      </c>
      <c r="F77">
        <v>181.44000199999999</v>
      </c>
      <c r="G77">
        <v>13389900</v>
      </c>
      <c r="H77" s="2">
        <f t="shared" si="1"/>
        <v>1.7724944007880383E-2</v>
      </c>
      <c r="I77" s="2">
        <f>VLOOKUP(A77,AAPL!A:H,8,)</f>
        <v>3.2865692141665903E-3</v>
      </c>
    </row>
    <row r="78" spans="1:9" x14ac:dyDescent="0.35">
      <c r="A78" s="1">
        <v>43578</v>
      </c>
      <c r="B78">
        <v>182.740005</v>
      </c>
      <c r="C78">
        <v>184.220001</v>
      </c>
      <c r="D78">
        <v>181.479996</v>
      </c>
      <c r="E78">
        <v>183.779999</v>
      </c>
      <c r="F78">
        <v>183.779999</v>
      </c>
      <c r="G78">
        <v>19954800</v>
      </c>
      <c r="H78" s="2">
        <f t="shared" si="1"/>
        <v>1.2896808720273434E-2</v>
      </c>
      <c r="I78" s="2">
        <f>VLOOKUP(A78,AAPL!A:H,8,)</f>
        <v>1.4423292426538836E-2</v>
      </c>
    </row>
    <row r="79" spans="1:9" x14ac:dyDescent="0.35">
      <c r="A79" s="1">
        <v>43579</v>
      </c>
      <c r="B79">
        <v>184.490005</v>
      </c>
      <c r="C79">
        <v>185.13999899999999</v>
      </c>
      <c r="D79">
        <v>181.64999399999999</v>
      </c>
      <c r="E79">
        <v>182.58000200000001</v>
      </c>
      <c r="F79">
        <v>182.58000200000001</v>
      </c>
      <c r="G79">
        <v>37289900</v>
      </c>
      <c r="H79" s="2">
        <f t="shared" si="1"/>
        <v>-6.5295299082028802E-3</v>
      </c>
      <c r="I79" s="2">
        <f>VLOOKUP(A79,AAPL!A:H,8,)</f>
        <v>-1.5422788035913682E-3</v>
      </c>
    </row>
    <row r="80" spans="1:9" x14ac:dyDescent="0.35">
      <c r="A80" s="1">
        <v>43580</v>
      </c>
      <c r="B80">
        <v>196.979996</v>
      </c>
      <c r="C80">
        <v>198.479996</v>
      </c>
      <c r="D80">
        <v>192.11999499999999</v>
      </c>
      <c r="E80">
        <v>193.259995</v>
      </c>
      <c r="F80">
        <v>193.259995</v>
      </c>
      <c r="G80">
        <v>54148800</v>
      </c>
      <c r="H80" s="2">
        <f t="shared" si="1"/>
        <v>5.8494867362308467E-2</v>
      </c>
      <c r="I80" s="2">
        <f>VLOOKUP(A80,AAPL!A:H,8,)</f>
        <v>-9.0751301588118949E-3</v>
      </c>
    </row>
    <row r="81" spans="1:9" x14ac:dyDescent="0.35">
      <c r="A81" s="1">
        <v>43581</v>
      </c>
      <c r="B81">
        <v>192.5</v>
      </c>
      <c r="C81">
        <v>192.89999399999999</v>
      </c>
      <c r="D81">
        <v>189.08999600000001</v>
      </c>
      <c r="E81">
        <v>191.490005</v>
      </c>
      <c r="F81">
        <v>191.490005</v>
      </c>
      <c r="G81">
        <v>22075000</v>
      </c>
      <c r="H81" s="2">
        <f t="shared" si="1"/>
        <v>-9.1585948762961111E-3</v>
      </c>
      <c r="I81" s="2">
        <f>VLOOKUP(A81,AAPL!A:H,8,)</f>
        <v>-4.7739477786438167E-3</v>
      </c>
    </row>
    <row r="82" spans="1:9" x14ac:dyDescent="0.35">
      <c r="A82" s="1">
        <v>43584</v>
      </c>
      <c r="B82">
        <v>190.949997</v>
      </c>
      <c r="C82">
        <v>195.41000399999999</v>
      </c>
      <c r="D82">
        <v>190.64999399999999</v>
      </c>
      <c r="E82">
        <v>194.779999</v>
      </c>
      <c r="F82">
        <v>194.779999</v>
      </c>
      <c r="G82">
        <v>19641300</v>
      </c>
      <c r="H82" s="2">
        <f t="shared" si="1"/>
        <v>1.7181022059088669E-2</v>
      </c>
      <c r="I82" s="2">
        <f>VLOOKUP(A82,AAPL!A:H,8,)</f>
        <v>1.5173567984854142E-3</v>
      </c>
    </row>
    <row r="83" spans="1:9" x14ac:dyDescent="0.35">
      <c r="A83" s="1">
        <v>43585</v>
      </c>
      <c r="B83">
        <v>194.19000199999999</v>
      </c>
      <c r="C83">
        <v>197.38999899999999</v>
      </c>
      <c r="D83">
        <v>192.279999</v>
      </c>
      <c r="E83">
        <v>193.39999399999999</v>
      </c>
      <c r="F83">
        <v>193.39999399999999</v>
      </c>
      <c r="G83">
        <v>23494700</v>
      </c>
      <c r="H83" s="2">
        <f t="shared" si="1"/>
        <v>-7.0849420222043324E-3</v>
      </c>
      <c r="I83" s="2">
        <f>VLOOKUP(A83,AAPL!A:H,8,)</f>
        <v>-1.9256145838424499E-2</v>
      </c>
    </row>
    <row r="84" spans="1:9" x14ac:dyDescent="0.35">
      <c r="A84" s="1">
        <v>43586</v>
      </c>
      <c r="B84">
        <v>194.779999</v>
      </c>
      <c r="C84">
        <v>196.179993</v>
      </c>
      <c r="D84">
        <v>193.009995</v>
      </c>
      <c r="E84">
        <v>193.029999</v>
      </c>
      <c r="F84">
        <v>193.029999</v>
      </c>
      <c r="G84">
        <v>15996600</v>
      </c>
      <c r="H84" s="2">
        <f t="shared" si="1"/>
        <v>-1.9131076084727416E-3</v>
      </c>
      <c r="I84" s="2">
        <f>VLOOKUP(A84,AAPL!A:H,8,)</f>
        <v>4.908558329595869E-2</v>
      </c>
    </row>
    <row r="85" spans="1:9" x14ac:dyDescent="0.35">
      <c r="A85" s="1">
        <v>43587</v>
      </c>
      <c r="B85">
        <v>193</v>
      </c>
      <c r="C85">
        <v>194</v>
      </c>
      <c r="D85">
        <v>189.75</v>
      </c>
      <c r="E85">
        <v>192.529999</v>
      </c>
      <c r="F85">
        <v>192.529999</v>
      </c>
      <c r="G85">
        <v>13209500</v>
      </c>
      <c r="H85" s="2">
        <f t="shared" si="1"/>
        <v>-2.5902709557595882E-3</v>
      </c>
      <c r="I85" s="2">
        <f>VLOOKUP(A85,AAPL!A:H,8,)</f>
        <v>-6.5077521089159651E-3</v>
      </c>
    </row>
    <row r="86" spans="1:9" x14ac:dyDescent="0.35">
      <c r="A86" s="1">
        <v>43588</v>
      </c>
      <c r="B86">
        <v>194.38000500000001</v>
      </c>
      <c r="C86">
        <v>196.16000399999999</v>
      </c>
      <c r="D86">
        <v>193.71000699999999</v>
      </c>
      <c r="E86">
        <v>195.470001</v>
      </c>
      <c r="F86">
        <v>195.470001</v>
      </c>
      <c r="G86">
        <v>14575400</v>
      </c>
      <c r="H86" s="2">
        <f t="shared" si="1"/>
        <v>1.5270357945620594E-2</v>
      </c>
      <c r="I86" s="2">
        <f>VLOOKUP(A86,AAPL!A:H,8,)</f>
        <v>1.2431308149416509E-2</v>
      </c>
    </row>
    <row r="87" spans="1:9" x14ac:dyDescent="0.35">
      <c r="A87" s="1">
        <v>43591</v>
      </c>
      <c r="B87">
        <v>191.240005</v>
      </c>
      <c r="C87">
        <v>194.279999</v>
      </c>
      <c r="D87">
        <v>190.550003</v>
      </c>
      <c r="E87">
        <v>193.88000500000001</v>
      </c>
      <c r="F87">
        <v>193.88000500000001</v>
      </c>
      <c r="G87">
        <v>13994900</v>
      </c>
      <c r="H87" s="2">
        <f t="shared" si="1"/>
        <v>-8.13422004330977E-3</v>
      </c>
      <c r="I87" s="2">
        <f>VLOOKUP(A87,AAPL!A:H,8,)</f>
        <v>-1.5442757969303389E-2</v>
      </c>
    </row>
    <row r="88" spans="1:9" x14ac:dyDescent="0.35">
      <c r="A88" s="1">
        <v>43592</v>
      </c>
      <c r="B88">
        <v>192.53999300000001</v>
      </c>
      <c r="C88">
        <v>192.89999399999999</v>
      </c>
      <c r="D88">
        <v>187.85000600000001</v>
      </c>
      <c r="E88">
        <v>189.770004</v>
      </c>
      <c r="F88">
        <v>189.770004</v>
      </c>
      <c r="G88">
        <v>16253000</v>
      </c>
      <c r="H88" s="2">
        <f t="shared" si="1"/>
        <v>-2.1198684206759744E-2</v>
      </c>
      <c r="I88" s="2">
        <f>VLOOKUP(A88,AAPL!A:H,8,)</f>
        <v>-2.6957003587049111E-2</v>
      </c>
    </row>
    <row r="89" spans="1:9" x14ac:dyDescent="0.35">
      <c r="A89" s="1">
        <v>43593</v>
      </c>
      <c r="B89">
        <v>189.38999899999999</v>
      </c>
      <c r="C89">
        <v>190.720001</v>
      </c>
      <c r="D89">
        <v>188.550003</v>
      </c>
      <c r="E89">
        <v>189.53999300000001</v>
      </c>
      <c r="F89">
        <v>189.53999300000001</v>
      </c>
      <c r="G89">
        <v>12505700</v>
      </c>
      <c r="H89" s="2">
        <f t="shared" si="1"/>
        <v>-1.2120514051313647E-3</v>
      </c>
      <c r="I89" s="2">
        <f>VLOOKUP(A89,AAPL!A:H,8,)</f>
        <v>1.9714088533961949E-4</v>
      </c>
    </row>
    <row r="90" spans="1:9" x14ac:dyDescent="0.35">
      <c r="A90" s="1">
        <v>43594</v>
      </c>
      <c r="B90">
        <v>187.199997</v>
      </c>
      <c r="C90">
        <v>189.770004</v>
      </c>
      <c r="D90">
        <v>186.259995</v>
      </c>
      <c r="E90">
        <v>188.64999399999999</v>
      </c>
      <c r="F90">
        <v>188.64999399999999</v>
      </c>
      <c r="G90">
        <v>12967000</v>
      </c>
      <c r="H90" s="2">
        <f t="shared" si="1"/>
        <v>-4.6955736671363546E-3</v>
      </c>
      <c r="I90" s="2">
        <f>VLOOKUP(A90,AAPL!A:H,8,)</f>
        <v>-1.0744169965270389E-2</v>
      </c>
    </row>
    <row r="91" spans="1:9" x14ac:dyDescent="0.35">
      <c r="A91" s="1">
        <v>43595</v>
      </c>
      <c r="B91">
        <v>188.25</v>
      </c>
      <c r="C91">
        <v>190</v>
      </c>
      <c r="D91">
        <v>184.58999600000001</v>
      </c>
      <c r="E91">
        <v>188.33999600000001</v>
      </c>
      <c r="F91">
        <v>188.33999600000001</v>
      </c>
      <c r="G91">
        <v>12578500</v>
      </c>
      <c r="H91" s="2">
        <f t="shared" si="1"/>
        <v>-1.6432441550990884E-3</v>
      </c>
      <c r="I91" s="2">
        <f>VLOOKUP(A91,AAPL!A:H,8,)</f>
        <v>-1.7636548425667642E-2</v>
      </c>
    </row>
    <row r="92" spans="1:9" x14ac:dyDescent="0.35">
      <c r="A92" s="1">
        <v>43598</v>
      </c>
      <c r="B92">
        <v>183.5</v>
      </c>
      <c r="C92">
        <v>185.429993</v>
      </c>
      <c r="D92">
        <v>180.83999600000001</v>
      </c>
      <c r="E92">
        <v>181.53999300000001</v>
      </c>
      <c r="F92">
        <v>181.53999300000001</v>
      </c>
      <c r="G92">
        <v>16833300</v>
      </c>
      <c r="H92" s="2">
        <f t="shared" si="1"/>
        <v>-3.6104933335561973E-2</v>
      </c>
      <c r="I92" s="2">
        <f>VLOOKUP(A92,AAPL!A:H,8,)</f>
        <v>-5.8119446520719986E-2</v>
      </c>
    </row>
    <row r="93" spans="1:9" x14ac:dyDescent="0.35">
      <c r="A93" s="1">
        <v>43599</v>
      </c>
      <c r="B93">
        <v>182.520004</v>
      </c>
      <c r="C93">
        <v>183.490005</v>
      </c>
      <c r="D93">
        <v>178.10000600000001</v>
      </c>
      <c r="E93">
        <v>180.729996</v>
      </c>
      <c r="F93">
        <v>180.729996</v>
      </c>
      <c r="G93">
        <v>17628100</v>
      </c>
      <c r="H93" s="2">
        <f t="shared" si="1"/>
        <v>-4.4618102414492045E-3</v>
      </c>
      <c r="I93" s="2">
        <f>VLOOKUP(A93,AAPL!A:H,8,)</f>
        <v>1.5830303682963454E-2</v>
      </c>
    </row>
    <row r="94" spans="1:9" x14ac:dyDescent="0.35">
      <c r="A94" s="1">
        <v>43600</v>
      </c>
      <c r="B94">
        <v>180.41999799999999</v>
      </c>
      <c r="C94">
        <v>187.279999</v>
      </c>
      <c r="D94">
        <v>180.020004</v>
      </c>
      <c r="E94">
        <v>186.270004</v>
      </c>
      <c r="F94">
        <v>186.270004</v>
      </c>
      <c r="G94">
        <v>16746900</v>
      </c>
      <c r="H94" s="2">
        <f t="shared" si="1"/>
        <v>3.0653505907231926E-2</v>
      </c>
      <c r="I94" s="2">
        <f>VLOOKUP(A94,AAPL!A:H,8,)</f>
        <v>1.1979200424484304E-2</v>
      </c>
    </row>
    <row r="95" spans="1:9" x14ac:dyDescent="0.35">
      <c r="A95" s="1">
        <v>43601</v>
      </c>
      <c r="B95">
        <v>185.050003</v>
      </c>
      <c r="C95">
        <v>188.58000200000001</v>
      </c>
      <c r="D95">
        <v>185.050003</v>
      </c>
      <c r="E95">
        <v>186.990005</v>
      </c>
      <c r="F95">
        <v>186.990005</v>
      </c>
      <c r="G95">
        <v>12953100</v>
      </c>
      <c r="H95" s="2">
        <f t="shared" si="1"/>
        <v>3.8653620257611543E-3</v>
      </c>
      <c r="I95" s="2">
        <f>VLOOKUP(A95,AAPL!A:H,8,)</f>
        <v>-4.3997485857949492E-3</v>
      </c>
    </row>
    <row r="96" spans="1:9" x14ac:dyDescent="0.35">
      <c r="A96" s="1">
        <v>43602</v>
      </c>
      <c r="B96">
        <v>184.83999600000001</v>
      </c>
      <c r="C96">
        <v>187.58000200000001</v>
      </c>
      <c r="D96">
        <v>184.279999</v>
      </c>
      <c r="E96">
        <v>185.300003</v>
      </c>
      <c r="F96">
        <v>185.300003</v>
      </c>
      <c r="G96">
        <v>10485400</v>
      </c>
      <c r="H96" s="2">
        <f t="shared" si="1"/>
        <v>-9.0379269202115475E-3</v>
      </c>
      <c r="I96" s="2">
        <f>VLOOKUP(A96,AAPL!A:H,8,)</f>
        <v>-5.6818181818182323E-3</v>
      </c>
    </row>
    <row r="97" spans="1:9" x14ac:dyDescent="0.35">
      <c r="A97" s="1">
        <v>43605</v>
      </c>
      <c r="B97">
        <v>181.88000500000001</v>
      </c>
      <c r="C97">
        <v>184.229996</v>
      </c>
      <c r="D97">
        <v>181.36999499999999</v>
      </c>
      <c r="E97">
        <v>182.720001</v>
      </c>
      <c r="F97">
        <v>182.720001</v>
      </c>
      <c r="G97">
        <v>10352000</v>
      </c>
      <c r="H97" s="2">
        <f t="shared" si="1"/>
        <v>-1.3923378080031745E-2</v>
      </c>
      <c r="I97" s="2">
        <f>VLOOKUP(A97,AAPL!A:H,8,)</f>
        <v>-3.1269862433862317E-2</v>
      </c>
    </row>
    <row r="98" spans="1:9" x14ac:dyDescent="0.35">
      <c r="A98" s="1">
        <v>43606</v>
      </c>
      <c r="B98">
        <v>184.570007</v>
      </c>
      <c r="C98">
        <v>185.699997</v>
      </c>
      <c r="D98">
        <v>183.88999899999999</v>
      </c>
      <c r="E98">
        <v>184.820007</v>
      </c>
      <c r="F98">
        <v>184.820007</v>
      </c>
      <c r="G98">
        <v>7502800</v>
      </c>
      <c r="H98" s="2">
        <f t="shared" si="1"/>
        <v>1.1493027520287802E-2</v>
      </c>
      <c r="I98" s="2">
        <f>VLOOKUP(A98,AAPL!A:H,8,)</f>
        <v>1.9170965517963046E-2</v>
      </c>
    </row>
    <row r="99" spans="1:9" x14ac:dyDescent="0.35">
      <c r="A99" s="1">
        <v>43607</v>
      </c>
      <c r="B99">
        <v>184.729996</v>
      </c>
      <c r="C99">
        <v>186.740005</v>
      </c>
      <c r="D99">
        <v>183.61000100000001</v>
      </c>
      <c r="E99">
        <v>185.320007</v>
      </c>
      <c r="F99">
        <v>185.320007</v>
      </c>
      <c r="G99">
        <v>9213800</v>
      </c>
      <c r="H99" s="2">
        <f t="shared" si="1"/>
        <v>2.7053348179995051E-3</v>
      </c>
      <c r="I99" s="2">
        <f>VLOOKUP(A99,AAPL!A:H,8,)</f>
        <v>-2.0471638993713182E-2</v>
      </c>
    </row>
    <row r="100" spans="1:9" x14ac:dyDescent="0.35">
      <c r="A100" s="1">
        <v>43608</v>
      </c>
      <c r="B100">
        <v>182.41999799999999</v>
      </c>
      <c r="C100">
        <v>183.89999399999999</v>
      </c>
      <c r="D100">
        <v>179.66999799999999</v>
      </c>
      <c r="E100">
        <v>180.86999499999999</v>
      </c>
      <c r="F100">
        <v>180.86999499999999</v>
      </c>
      <c r="G100">
        <v>12768800</v>
      </c>
      <c r="H100" s="2">
        <f t="shared" si="1"/>
        <v>-2.40125827320955E-2</v>
      </c>
      <c r="I100" s="2">
        <f>VLOOKUP(A100,AAPL!A:H,8,)</f>
        <v>-1.7069679395995241E-2</v>
      </c>
    </row>
    <row r="101" spans="1:9" x14ac:dyDescent="0.35">
      <c r="A101" s="1">
        <v>43609</v>
      </c>
      <c r="B101">
        <v>182.33000200000001</v>
      </c>
      <c r="C101">
        <v>183.63000500000001</v>
      </c>
      <c r="D101">
        <v>180.83000200000001</v>
      </c>
      <c r="E101">
        <v>181.05999800000001</v>
      </c>
      <c r="F101">
        <v>181.05999800000001</v>
      </c>
      <c r="G101">
        <v>8807700</v>
      </c>
      <c r="H101" s="2">
        <f t="shared" si="1"/>
        <v>1.05049485958153E-3</v>
      </c>
      <c r="I101" s="2">
        <f>VLOOKUP(A101,AAPL!A:H,8,)</f>
        <v>-3.840609955680474E-3</v>
      </c>
    </row>
    <row r="102" spans="1:9" x14ac:dyDescent="0.35">
      <c r="A102" s="1">
        <v>43613</v>
      </c>
      <c r="B102">
        <v>181.53999300000001</v>
      </c>
      <c r="C102">
        <v>184.71000699999999</v>
      </c>
      <c r="D102">
        <v>181.449997</v>
      </c>
      <c r="E102">
        <v>184.30999800000001</v>
      </c>
      <c r="F102">
        <v>184.30999800000001</v>
      </c>
      <c r="G102">
        <v>14843300</v>
      </c>
      <c r="H102" s="2">
        <f t="shared" si="1"/>
        <v>1.7949851076437096E-2</v>
      </c>
      <c r="I102" s="2">
        <f>VLOOKUP(A102,AAPL!A:H,8,)</f>
        <v>-4.1347935408169167E-3</v>
      </c>
    </row>
    <row r="103" spans="1:9" x14ac:dyDescent="0.35">
      <c r="A103" s="1">
        <v>43614</v>
      </c>
      <c r="B103">
        <v>183.5</v>
      </c>
      <c r="C103">
        <v>184.55999800000001</v>
      </c>
      <c r="D103">
        <v>181.35000600000001</v>
      </c>
      <c r="E103">
        <v>182.19000199999999</v>
      </c>
      <c r="F103">
        <v>182.19000199999999</v>
      </c>
      <c r="G103">
        <v>12797700</v>
      </c>
      <c r="H103" s="2">
        <f t="shared" si="1"/>
        <v>-1.150233857633709E-2</v>
      </c>
      <c r="I103" s="2">
        <f>VLOOKUP(A103,AAPL!A:H,8,)</f>
        <v>-4.7690737758866453E-3</v>
      </c>
    </row>
    <row r="104" spans="1:9" x14ac:dyDescent="0.35">
      <c r="A104" s="1">
        <v>43615</v>
      </c>
      <c r="B104">
        <v>183.08000200000001</v>
      </c>
      <c r="C104">
        <v>183.479996</v>
      </c>
      <c r="D104">
        <v>180.88999899999999</v>
      </c>
      <c r="E104">
        <v>183.009995</v>
      </c>
      <c r="F104">
        <v>183.009995</v>
      </c>
      <c r="G104">
        <v>8581500</v>
      </c>
      <c r="H104" s="2">
        <f t="shared" si="1"/>
        <v>4.500757401605382E-3</v>
      </c>
      <c r="I104" s="2">
        <f>VLOOKUP(A104,AAPL!A:H,8,)</f>
        <v>5.1866049117914592E-3</v>
      </c>
    </row>
    <row r="105" spans="1:9" x14ac:dyDescent="0.35">
      <c r="A105" s="1">
        <v>43616</v>
      </c>
      <c r="B105">
        <v>180.279999</v>
      </c>
      <c r="C105">
        <v>180.53999300000001</v>
      </c>
      <c r="D105">
        <v>177.16000399999999</v>
      </c>
      <c r="E105">
        <v>177.470001</v>
      </c>
      <c r="F105">
        <v>177.470001</v>
      </c>
      <c r="G105">
        <v>15226500</v>
      </c>
      <c r="H105" s="2">
        <f t="shared" si="1"/>
        <v>-3.0271537901522816E-2</v>
      </c>
      <c r="I105" s="2">
        <f>VLOOKUP(A105,AAPL!A:H,8,)</f>
        <v>-1.8115512773628439E-2</v>
      </c>
    </row>
    <row r="106" spans="1:9" x14ac:dyDescent="0.35">
      <c r="A106" s="1">
        <v>43619</v>
      </c>
      <c r="B106">
        <v>175</v>
      </c>
      <c r="C106">
        <v>175.050003</v>
      </c>
      <c r="D106">
        <v>161.009995</v>
      </c>
      <c r="E106">
        <v>164.14999399999999</v>
      </c>
      <c r="F106">
        <v>164.14999399999999</v>
      </c>
      <c r="G106">
        <v>56059600</v>
      </c>
      <c r="H106" s="2">
        <f t="shared" si="1"/>
        <v>-7.5054977883276197E-2</v>
      </c>
      <c r="I106" s="2">
        <f>VLOOKUP(A106,AAPL!A:H,8,)</f>
        <v>-1.0110264003643565E-2</v>
      </c>
    </row>
    <row r="107" spans="1:9" x14ac:dyDescent="0.35">
      <c r="A107" s="1">
        <v>43620</v>
      </c>
      <c r="B107">
        <v>163.71000699999999</v>
      </c>
      <c r="C107">
        <v>168.279999</v>
      </c>
      <c r="D107">
        <v>160.83999600000001</v>
      </c>
      <c r="E107">
        <v>167.5</v>
      </c>
      <c r="F107">
        <v>167.5</v>
      </c>
      <c r="G107">
        <v>46044300</v>
      </c>
      <c r="H107" s="2">
        <f t="shared" si="1"/>
        <v>2.0408200563199586E-2</v>
      </c>
      <c r="I107" s="2">
        <f>VLOOKUP(A107,AAPL!A:H,8,)</f>
        <v>3.658393452777986E-2</v>
      </c>
    </row>
    <row r="108" spans="1:9" x14ac:dyDescent="0.35">
      <c r="A108" s="1">
        <v>43621</v>
      </c>
      <c r="B108">
        <v>167.479996</v>
      </c>
      <c r="C108">
        <v>168.720001</v>
      </c>
      <c r="D108">
        <v>164.63000500000001</v>
      </c>
      <c r="E108">
        <v>168.16999799999999</v>
      </c>
      <c r="F108">
        <v>168.16999799999999</v>
      </c>
      <c r="G108">
        <v>19758300</v>
      </c>
      <c r="H108" s="2">
        <f t="shared" si="1"/>
        <v>3.9999880597014759E-3</v>
      </c>
      <c r="I108" s="2">
        <f>VLOOKUP(A108,AAPL!A:H,8,)</f>
        <v>1.614335337341366E-2</v>
      </c>
    </row>
    <row r="109" spans="1:9" x14ac:dyDescent="0.35">
      <c r="A109" s="1">
        <v>43622</v>
      </c>
      <c r="B109">
        <v>168.300003</v>
      </c>
      <c r="C109">
        <v>169.699997</v>
      </c>
      <c r="D109">
        <v>167.229996</v>
      </c>
      <c r="E109">
        <v>168.33000200000001</v>
      </c>
      <c r="F109">
        <v>168.33000200000001</v>
      </c>
      <c r="G109">
        <v>12446400</v>
      </c>
      <c r="H109" s="2">
        <f t="shared" si="1"/>
        <v>9.5144200453645134E-4</v>
      </c>
      <c r="I109" s="2">
        <f>VLOOKUP(A109,AAPL!A:H,8,)</f>
        <v>1.4681758066473316E-2</v>
      </c>
    </row>
    <row r="110" spans="1:9" x14ac:dyDescent="0.35">
      <c r="A110" s="1">
        <v>43623</v>
      </c>
      <c r="B110">
        <v>170.16999799999999</v>
      </c>
      <c r="C110">
        <v>173.86999499999999</v>
      </c>
      <c r="D110">
        <v>168.83999600000001</v>
      </c>
      <c r="E110">
        <v>173.35000600000001</v>
      </c>
      <c r="F110">
        <v>173.35000600000001</v>
      </c>
      <c r="G110">
        <v>16917300</v>
      </c>
      <c r="H110" s="2">
        <f t="shared" si="1"/>
        <v>2.9822396128766249E-2</v>
      </c>
      <c r="I110" s="2">
        <f>VLOOKUP(A110,AAPL!A:H,8,)</f>
        <v>2.6616952812871242E-2</v>
      </c>
    </row>
    <row r="111" spans="1:9" x14ac:dyDescent="0.35">
      <c r="A111" s="1">
        <v>43626</v>
      </c>
      <c r="B111">
        <v>174.75</v>
      </c>
      <c r="C111">
        <v>177.86000100000001</v>
      </c>
      <c r="D111">
        <v>173.800003</v>
      </c>
      <c r="E111">
        <v>174.820007</v>
      </c>
      <c r="F111">
        <v>174.820007</v>
      </c>
      <c r="G111">
        <v>14767900</v>
      </c>
      <c r="H111" s="2">
        <f t="shared" si="1"/>
        <v>8.4799593257585126E-3</v>
      </c>
      <c r="I111" s="2">
        <f>VLOOKUP(A111,AAPL!A:H,8,)</f>
        <v>1.277942730599757E-2</v>
      </c>
    </row>
    <row r="112" spans="1:9" x14ac:dyDescent="0.35">
      <c r="A112" s="1">
        <v>43627</v>
      </c>
      <c r="B112">
        <v>178.479996</v>
      </c>
      <c r="C112">
        <v>179.979996</v>
      </c>
      <c r="D112">
        <v>176.78999300000001</v>
      </c>
      <c r="E112">
        <v>178.10000600000001</v>
      </c>
      <c r="F112">
        <v>178.10000600000001</v>
      </c>
      <c r="G112">
        <v>15266600</v>
      </c>
      <c r="H112" s="2">
        <f t="shared" si="1"/>
        <v>1.8762148888370689E-2</v>
      </c>
      <c r="I112" s="2">
        <f>VLOOKUP(A112,AAPL!A:H,8,)</f>
        <v>1.1579582511164199E-2</v>
      </c>
    </row>
    <row r="113" spans="1:9" x14ac:dyDescent="0.35">
      <c r="A113" s="1">
        <v>43628</v>
      </c>
      <c r="B113">
        <v>178.38000500000001</v>
      </c>
      <c r="C113">
        <v>179.270004</v>
      </c>
      <c r="D113">
        <v>172.88000500000001</v>
      </c>
      <c r="E113">
        <v>175.03999300000001</v>
      </c>
      <c r="F113">
        <v>175.03999300000001</v>
      </c>
      <c r="G113">
        <v>17699800</v>
      </c>
      <c r="H113" s="2">
        <f t="shared" si="1"/>
        <v>-1.7181431201074737E-2</v>
      </c>
      <c r="I113" s="2">
        <f>VLOOKUP(A113,AAPL!A:H,8,)</f>
        <v>-3.1825471625184232E-3</v>
      </c>
    </row>
    <row r="114" spans="1:9" x14ac:dyDescent="0.35">
      <c r="A114" s="1">
        <v>43629</v>
      </c>
      <c r="B114">
        <v>175.529999</v>
      </c>
      <c r="C114">
        <v>178.029999</v>
      </c>
      <c r="D114">
        <v>174.61000100000001</v>
      </c>
      <c r="E114">
        <v>177.470001</v>
      </c>
      <c r="F114">
        <v>177.470001</v>
      </c>
      <c r="G114">
        <v>12253600</v>
      </c>
      <c r="H114" s="2">
        <f t="shared" si="1"/>
        <v>1.3882587392470835E-2</v>
      </c>
      <c r="I114" s="2">
        <f>VLOOKUP(A114,AAPL!A:H,8,)</f>
        <v>-2.0604562117410019E-4</v>
      </c>
    </row>
    <row r="115" spans="1:9" x14ac:dyDescent="0.35">
      <c r="A115" s="1">
        <v>43630</v>
      </c>
      <c r="B115">
        <v>180.509995</v>
      </c>
      <c r="C115">
        <v>181.83999600000001</v>
      </c>
      <c r="D115">
        <v>180</v>
      </c>
      <c r="E115">
        <v>181.33000200000001</v>
      </c>
      <c r="F115">
        <v>181.33000200000001</v>
      </c>
      <c r="G115">
        <v>16773700</v>
      </c>
      <c r="H115" s="2">
        <f t="shared" si="1"/>
        <v>2.1750160467965518E-2</v>
      </c>
      <c r="I115" s="2">
        <f>VLOOKUP(A115,AAPL!A:H,8,)</f>
        <v>-7.2623644506768503E-3</v>
      </c>
    </row>
    <row r="116" spans="1:9" x14ac:dyDescent="0.35">
      <c r="A116" s="1">
        <v>43633</v>
      </c>
      <c r="B116">
        <v>185.009995</v>
      </c>
      <c r="C116">
        <v>189.5</v>
      </c>
      <c r="D116">
        <v>184.41000399999999</v>
      </c>
      <c r="E116">
        <v>189.009995</v>
      </c>
      <c r="F116">
        <v>189.009995</v>
      </c>
      <c r="G116">
        <v>29459900</v>
      </c>
      <c r="H116" s="2">
        <f t="shared" si="1"/>
        <v>4.2353680666699534E-2</v>
      </c>
      <c r="I116" s="2">
        <f>VLOOKUP(A116,AAPL!A:H,8,)</f>
        <v>5.9665662349990267E-3</v>
      </c>
    </row>
    <row r="117" spans="1:9" x14ac:dyDescent="0.35">
      <c r="A117" s="1">
        <v>43634</v>
      </c>
      <c r="B117">
        <v>194</v>
      </c>
      <c r="C117">
        <v>194.529999</v>
      </c>
      <c r="D117">
        <v>187.279999</v>
      </c>
      <c r="E117">
        <v>188.470001</v>
      </c>
      <c r="F117">
        <v>188.470001</v>
      </c>
      <c r="G117">
        <v>37571400</v>
      </c>
      <c r="H117" s="2">
        <f t="shared" si="1"/>
        <v>-2.8569600247860816E-3</v>
      </c>
      <c r="I117" s="2">
        <f>VLOOKUP(A117,AAPL!A:H,8,)</f>
        <v>2.3518469235133344E-2</v>
      </c>
    </row>
    <row r="118" spans="1:9" x14ac:dyDescent="0.35">
      <c r="A118" s="1">
        <v>43635</v>
      </c>
      <c r="B118">
        <v>187</v>
      </c>
      <c r="C118">
        <v>188.10000600000001</v>
      </c>
      <c r="D118">
        <v>184.550003</v>
      </c>
      <c r="E118">
        <v>187.479996</v>
      </c>
      <c r="F118">
        <v>187.479996</v>
      </c>
      <c r="G118">
        <v>21417100</v>
      </c>
      <c r="H118" s="2">
        <f t="shared" si="1"/>
        <v>-5.2528518849002115E-3</v>
      </c>
      <c r="I118" s="2">
        <f>VLOOKUP(A118,AAPL!A:H,8,)</f>
        <v>-2.9226506006078123E-3</v>
      </c>
    </row>
    <row r="119" spans="1:9" x14ac:dyDescent="0.35">
      <c r="A119" s="1">
        <v>43636</v>
      </c>
      <c r="B119">
        <v>190.949997</v>
      </c>
      <c r="C119">
        <v>191.16000399999999</v>
      </c>
      <c r="D119">
        <v>187.63999899999999</v>
      </c>
      <c r="E119">
        <v>189.529999</v>
      </c>
      <c r="F119">
        <v>189.529999</v>
      </c>
      <c r="G119">
        <v>14635700</v>
      </c>
      <c r="H119" s="2">
        <f t="shared" si="1"/>
        <v>1.0934515914967191E-2</v>
      </c>
      <c r="I119" s="2">
        <f>VLOOKUP(A119,AAPL!A:H,8,)</f>
        <v>8.0356397237708599E-3</v>
      </c>
    </row>
    <row r="120" spans="1:9" x14ac:dyDescent="0.35">
      <c r="A120" s="1">
        <v>43637</v>
      </c>
      <c r="B120">
        <v>188.75</v>
      </c>
      <c r="C120">
        <v>192</v>
      </c>
      <c r="D120">
        <v>188.75</v>
      </c>
      <c r="E120">
        <v>191.13999899999999</v>
      </c>
      <c r="F120">
        <v>191.13999899999999</v>
      </c>
      <c r="G120">
        <v>22751200</v>
      </c>
      <c r="H120" s="2">
        <f t="shared" si="1"/>
        <v>8.4946974542008391E-3</v>
      </c>
      <c r="I120" s="2">
        <f>VLOOKUP(A120,AAPL!A:H,8,)</f>
        <v>-3.4092448246567653E-3</v>
      </c>
    </row>
    <row r="121" spans="1:9" x14ac:dyDescent="0.35">
      <c r="A121" s="1">
        <v>43640</v>
      </c>
      <c r="B121">
        <v>192.41999799999999</v>
      </c>
      <c r="C121">
        <v>193.979996</v>
      </c>
      <c r="D121">
        <v>191.570007</v>
      </c>
      <c r="E121">
        <v>192.60000600000001</v>
      </c>
      <c r="F121">
        <v>192.60000600000001</v>
      </c>
      <c r="G121">
        <v>15509000</v>
      </c>
      <c r="H121" s="2">
        <f t="shared" si="1"/>
        <v>7.6384169071803676E-3</v>
      </c>
      <c r="I121" s="2">
        <f>VLOOKUP(A121,AAPL!A:H,8,)</f>
        <v>-1.0061374383740773E-3</v>
      </c>
    </row>
    <row r="122" spans="1:9" x14ac:dyDescent="0.35">
      <c r="A122" s="1">
        <v>43641</v>
      </c>
      <c r="B122">
        <v>192.88000500000001</v>
      </c>
      <c r="C122">
        <v>193.13999899999999</v>
      </c>
      <c r="D122">
        <v>188.13000500000001</v>
      </c>
      <c r="E122">
        <v>188.83999600000001</v>
      </c>
      <c r="F122">
        <v>188.83999600000001</v>
      </c>
      <c r="G122">
        <v>16750300</v>
      </c>
      <c r="H122" s="2">
        <f t="shared" si="1"/>
        <v>-1.9522377377288347E-2</v>
      </c>
      <c r="I122" s="2">
        <f>VLOOKUP(A122,AAPL!A:H,8,)</f>
        <v>-1.5157578809547823E-2</v>
      </c>
    </row>
    <row r="123" spans="1:9" x14ac:dyDescent="0.35">
      <c r="A123" s="1">
        <v>43642</v>
      </c>
      <c r="B123">
        <v>189.53999300000001</v>
      </c>
      <c r="C123">
        <v>190.759995</v>
      </c>
      <c r="D123">
        <v>187.30999800000001</v>
      </c>
      <c r="E123">
        <v>187.66000399999999</v>
      </c>
      <c r="F123">
        <v>187.66000399999999</v>
      </c>
      <c r="G123">
        <v>12808600</v>
      </c>
      <c r="H123" s="2">
        <f t="shared" si="1"/>
        <v>-6.248633896391409E-3</v>
      </c>
      <c r="I123" s="2">
        <f>VLOOKUP(A123,AAPL!A:H,8,)</f>
        <v>2.1629062877575711E-2</v>
      </c>
    </row>
    <row r="124" spans="1:9" x14ac:dyDescent="0.35">
      <c r="A124" s="1">
        <v>43643</v>
      </c>
      <c r="B124">
        <v>189.88000500000001</v>
      </c>
      <c r="C124">
        <v>198.88000500000001</v>
      </c>
      <c r="D124">
        <v>188.270004</v>
      </c>
      <c r="E124">
        <v>189.5</v>
      </c>
      <c r="F124">
        <v>189.5</v>
      </c>
      <c r="G124">
        <v>11159000</v>
      </c>
      <c r="H124" s="2">
        <f t="shared" si="1"/>
        <v>9.8049449045094494E-3</v>
      </c>
      <c r="I124" s="2">
        <f>VLOOKUP(A124,AAPL!A:H,8,)</f>
        <v>-3.0030029428829152E-4</v>
      </c>
    </row>
    <row r="125" spans="1:9" x14ac:dyDescent="0.35">
      <c r="A125" s="1">
        <v>43644</v>
      </c>
      <c r="B125">
        <v>190.550003</v>
      </c>
      <c r="C125">
        <v>193.199997</v>
      </c>
      <c r="D125">
        <v>189.94000199999999</v>
      </c>
      <c r="E125">
        <v>193</v>
      </c>
      <c r="F125">
        <v>193</v>
      </c>
      <c r="G125">
        <v>16378900</v>
      </c>
      <c r="H125" s="2">
        <f t="shared" si="1"/>
        <v>1.846965699208436E-2</v>
      </c>
      <c r="I125" s="2">
        <f>VLOOKUP(A125,AAPL!A:H,8,)</f>
        <v>-9.111865242578121E-3</v>
      </c>
    </row>
    <row r="126" spans="1:9" x14ac:dyDescent="0.35">
      <c r="A126" s="1">
        <v>43647</v>
      </c>
      <c r="B126">
        <v>195.21000699999999</v>
      </c>
      <c r="C126">
        <v>195.279999</v>
      </c>
      <c r="D126">
        <v>191.929993</v>
      </c>
      <c r="E126">
        <v>193</v>
      </c>
      <c r="F126">
        <v>193</v>
      </c>
      <c r="G126">
        <v>14181800</v>
      </c>
      <c r="H126" s="2">
        <f t="shared" si="1"/>
        <v>0</v>
      </c>
      <c r="I126" s="2">
        <f>VLOOKUP(A126,AAPL!A:H,8,)</f>
        <v>1.8340763945028371E-2</v>
      </c>
    </row>
    <row r="127" spans="1:9" x14ac:dyDescent="0.35">
      <c r="A127" s="1">
        <v>43648</v>
      </c>
      <c r="B127">
        <v>193</v>
      </c>
      <c r="C127">
        <v>195</v>
      </c>
      <c r="D127">
        <v>192.71000699999999</v>
      </c>
      <c r="E127">
        <v>195</v>
      </c>
      <c r="F127">
        <v>195</v>
      </c>
      <c r="G127">
        <v>9050000</v>
      </c>
      <c r="H127" s="2">
        <f t="shared" si="1"/>
        <v>1.0362694300518172E-2</v>
      </c>
      <c r="I127" s="2">
        <f>VLOOKUP(A127,AAPL!A:H,8,)</f>
        <v>5.8545868349375585E-3</v>
      </c>
    </row>
    <row r="128" spans="1:9" x14ac:dyDescent="0.35">
      <c r="A128" s="1">
        <v>43649</v>
      </c>
      <c r="B128">
        <v>194.16000399999999</v>
      </c>
      <c r="C128">
        <v>197.39999399999999</v>
      </c>
      <c r="D128">
        <v>194.16000399999999</v>
      </c>
      <c r="E128">
        <v>197.199997</v>
      </c>
      <c r="F128">
        <v>197.199997</v>
      </c>
      <c r="G128">
        <v>10246100</v>
      </c>
      <c r="H128" s="2">
        <f t="shared" si="1"/>
        <v>1.1282035897435927E-2</v>
      </c>
      <c r="I128" s="2">
        <f>VLOOKUP(A128,AAPL!A:H,8,)</f>
        <v>8.2869236578093641E-3</v>
      </c>
    </row>
    <row r="129" spans="1:9" x14ac:dyDescent="0.35">
      <c r="A129" s="1">
        <v>43651</v>
      </c>
      <c r="B129">
        <v>196.179993</v>
      </c>
      <c r="C129">
        <v>197.070007</v>
      </c>
      <c r="D129">
        <v>194.16999799999999</v>
      </c>
      <c r="E129">
        <v>196.39999399999999</v>
      </c>
      <c r="F129">
        <v>196.39999399999999</v>
      </c>
      <c r="G129">
        <v>11164100</v>
      </c>
      <c r="H129" s="2">
        <f t="shared" si="1"/>
        <v>-4.0568104065438204E-3</v>
      </c>
      <c r="I129" s="2">
        <f>VLOOKUP(A129,AAPL!A:H,8,)</f>
        <v>-8.8062226152096912E-4</v>
      </c>
    </row>
    <row r="130" spans="1:9" x14ac:dyDescent="0.35">
      <c r="A130" s="1">
        <v>43654</v>
      </c>
      <c r="B130">
        <v>195.19000199999999</v>
      </c>
      <c r="C130">
        <v>196.679993</v>
      </c>
      <c r="D130">
        <v>193.63999899999999</v>
      </c>
      <c r="E130">
        <v>195.759995</v>
      </c>
      <c r="F130">
        <v>195.759995</v>
      </c>
      <c r="G130">
        <v>9723900</v>
      </c>
      <c r="H130" s="2">
        <f t="shared" si="1"/>
        <v>-3.2586508123823021E-3</v>
      </c>
      <c r="I130" s="2">
        <f>VLOOKUP(A130,AAPL!A:H,8,)</f>
        <v>-2.0613974844322036E-2</v>
      </c>
    </row>
    <row r="131" spans="1:9" x14ac:dyDescent="0.35">
      <c r="A131" s="1">
        <v>43655</v>
      </c>
      <c r="B131">
        <v>194.970001</v>
      </c>
      <c r="C131">
        <v>199.46000699999999</v>
      </c>
      <c r="D131">
        <v>194.88999899999999</v>
      </c>
      <c r="E131">
        <v>199.21000699999999</v>
      </c>
      <c r="F131">
        <v>199.21000699999999</v>
      </c>
      <c r="G131">
        <v>14698600</v>
      </c>
      <c r="H131" s="2">
        <f t="shared" si="1"/>
        <v>1.7623682509799732E-2</v>
      </c>
      <c r="I131" s="2">
        <f>VLOOKUP(A131,AAPL!A:H,8,)</f>
        <v>6.0993899390182627E-3</v>
      </c>
    </row>
    <row r="132" spans="1:9" x14ac:dyDescent="0.35">
      <c r="A132" s="1">
        <v>43656</v>
      </c>
      <c r="B132">
        <v>200</v>
      </c>
      <c r="C132">
        <v>202.96000699999999</v>
      </c>
      <c r="D132">
        <v>199.66999799999999</v>
      </c>
      <c r="E132">
        <v>202.729996</v>
      </c>
      <c r="F132">
        <v>202.729996</v>
      </c>
      <c r="G132">
        <v>20571700</v>
      </c>
      <c r="H132" s="2">
        <f t="shared" ref="H132:H195" si="2">E132/E131-1</f>
        <v>1.7669739853982458E-2</v>
      </c>
      <c r="I132" s="2">
        <f>VLOOKUP(A132,AAPL!A:H,8,)</f>
        <v>9.8886501711656916E-3</v>
      </c>
    </row>
    <row r="133" spans="1:9" x14ac:dyDescent="0.35">
      <c r="A133" s="1">
        <v>43657</v>
      </c>
      <c r="B133">
        <v>203.259995</v>
      </c>
      <c r="C133">
        <v>203.800003</v>
      </c>
      <c r="D133">
        <v>200.21000699999999</v>
      </c>
      <c r="E133">
        <v>201.229996</v>
      </c>
      <c r="F133">
        <v>201.229996</v>
      </c>
      <c r="G133">
        <v>13678500</v>
      </c>
      <c r="H133" s="2">
        <f t="shared" si="2"/>
        <v>-7.399003746835775E-3</v>
      </c>
      <c r="I133" s="2">
        <f>VLOOKUP(A133,AAPL!A:H,8,)</f>
        <v>-7.2823698722112029E-3</v>
      </c>
    </row>
    <row r="134" spans="1:9" x14ac:dyDescent="0.35">
      <c r="A134" s="1">
        <v>43658</v>
      </c>
      <c r="B134">
        <v>199.679993</v>
      </c>
      <c r="C134">
        <v>205.300003</v>
      </c>
      <c r="D134">
        <v>199.16000399999999</v>
      </c>
      <c r="E134">
        <v>204.86999499999999</v>
      </c>
      <c r="F134">
        <v>204.86999499999999</v>
      </c>
      <c r="G134">
        <v>15366300</v>
      </c>
      <c r="H134" s="2">
        <f t="shared" si="2"/>
        <v>1.8088749552029881E-2</v>
      </c>
      <c r="I134" s="2">
        <f>VLOOKUP(A134,AAPL!A:H,8,)</f>
        <v>7.6827955390335045E-3</v>
      </c>
    </row>
    <row r="135" spans="1:9" x14ac:dyDescent="0.35">
      <c r="A135" s="1">
        <v>43661</v>
      </c>
      <c r="B135">
        <v>204.25</v>
      </c>
      <c r="C135">
        <v>205.33000200000001</v>
      </c>
      <c r="D135">
        <v>201.820007</v>
      </c>
      <c r="E135">
        <v>203.91000399999999</v>
      </c>
      <c r="F135">
        <v>203.91000399999999</v>
      </c>
      <c r="G135">
        <v>16030300</v>
      </c>
      <c r="H135" s="2">
        <f t="shared" si="2"/>
        <v>-4.6858545586434541E-3</v>
      </c>
      <c r="I135" s="2">
        <f>VLOOKUP(A135,AAPL!A:H,8,)</f>
        <v>9.3950022745694639E-3</v>
      </c>
    </row>
    <row r="136" spans="1:9" x14ac:dyDescent="0.35">
      <c r="A136" s="1">
        <v>43662</v>
      </c>
      <c r="B136">
        <v>203.88999899999999</v>
      </c>
      <c r="C136">
        <v>205.470001</v>
      </c>
      <c r="D136">
        <v>203.10000600000001</v>
      </c>
      <c r="E136">
        <v>203.83999600000001</v>
      </c>
      <c r="F136">
        <v>203.83999600000001</v>
      </c>
      <c r="G136">
        <v>12132700</v>
      </c>
      <c r="H136" s="2">
        <f t="shared" si="2"/>
        <v>-3.4332793206148793E-4</v>
      </c>
      <c r="I136" s="2">
        <f>VLOOKUP(A136,AAPL!A:H,8,)</f>
        <v>-3.4599092262594944E-3</v>
      </c>
    </row>
    <row r="137" spans="1:9" x14ac:dyDescent="0.35">
      <c r="A137" s="1">
        <v>43663</v>
      </c>
      <c r="B137">
        <v>204.179993</v>
      </c>
      <c r="C137">
        <v>204.36000100000001</v>
      </c>
      <c r="D137">
        <v>201.58999600000001</v>
      </c>
      <c r="E137">
        <v>201.800003</v>
      </c>
      <c r="F137">
        <v>201.800003</v>
      </c>
      <c r="G137">
        <v>12083700</v>
      </c>
      <c r="H137" s="2">
        <f t="shared" si="2"/>
        <v>-1.0007815149289945E-2</v>
      </c>
      <c r="I137" s="2">
        <f>VLOOKUP(A137,AAPL!A:H,8,)</f>
        <v>-5.6234327628361669E-3</v>
      </c>
    </row>
    <row r="138" spans="1:9" x14ac:dyDescent="0.35">
      <c r="A138" s="1">
        <v>43664</v>
      </c>
      <c r="B138">
        <v>200.14999399999999</v>
      </c>
      <c r="C138">
        <v>202.470001</v>
      </c>
      <c r="D138">
        <v>199.38000500000001</v>
      </c>
      <c r="E138">
        <v>200.779999</v>
      </c>
      <c r="F138">
        <v>200.779999</v>
      </c>
      <c r="G138">
        <v>11937900</v>
      </c>
      <c r="H138" s="2">
        <f t="shared" si="2"/>
        <v>-5.0545291617265509E-3</v>
      </c>
      <c r="I138" s="2">
        <f>VLOOKUP(A138,AAPL!A:H,8,)</f>
        <v>1.1359704495315315E-2</v>
      </c>
    </row>
    <row r="139" spans="1:9" x14ac:dyDescent="0.35">
      <c r="A139" s="1">
        <v>43665</v>
      </c>
      <c r="B139">
        <v>202.179993</v>
      </c>
      <c r="C139">
        <v>202.33000200000001</v>
      </c>
      <c r="D139">
        <v>198.070007</v>
      </c>
      <c r="E139">
        <v>198.36000100000001</v>
      </c>
      <c r="F139">
        <v>198.36000100000001</v>
      </c>
      <c r="G139">
        <v>12098300</v>
      </c>
      <c r="H139" s="2">
        <f t="shared" si="2"/>
        <v>-1.2052983424907793E-2</v>
      </c>
      <c r="I139" s="2">
        <f>VLOOKUP(A139,AAPL!A:H,8,)</f>
        <v>-1.492758893459889E-2</v>
      </c>
    </row>
    <row r="140" spans="1:9" x14ac:dyDescent="0.35">
      <c r="A140" s="1">
        <v>43668</v>
      </c>
      <c r="B140">
        <v>199.91000399999999</v>
      </c>
      <c r="C140">
        <v>202.570007</v>
      </c>
      <c r="D140">
        <v>198.80999800000001</v>
      </c>
      <c r="E140">
        <v>202.320007</v>
      </c>
      <c r="F140">
        <v>202.320007</v>
      </c>
      <c r="G140">
        <v>13589000</v>
      </c>
      <c r="H140" s="2">
        <f t="shared" si="2"/>
        <v>1.9963732506736553E-2</v>
      </c>
      <c r="I140" s="2">
        <f>VLOOKUP(A140,AAPL!A:H,8,)</f>
        <v>2.2854060375222085E-2</v>
      </c>
    </row>
    <row r="141" spans="1:9" x14ac:dyDescent="0.35">
      <c r="A141" s="1">
        <v>43669</v>
      </c>
      <c r="B141">
        <v>202.83999600000001</v>
      </c>
      <c r="C141">
        <v>204.240005</v>
      </c>
      <c r="D141">
        <v>200.96000699999999</v>
      </c>
      <c r="E141">
        <v>202.36000100000001</v>
      </c>
      <c r="F141">
        <v>202.36000100000001</v>
      </c>
      <c r="G141">
        <v>14583700</v>
      </c>
      <c r="H141" s="2">
        <f t="shared" si="2"/>
        <v>1.9767694057071239E-4</v>
      </c>
      <c r="I141" s="2">
        <f>VLOOKUP(A141,AAPL!A:H,8,)</f>
        <v>7.8177589035808293E-3</v>
      </c>
    </row>
    <row r="142" spans="1:9" x14ac:dyDescent="0.35">
      <c r="A142" s="1">
        <v>43670</v>
      </c>
      <c r="B142">
        <v>197.63000500000001</v>
      </c>
      <c r="C142">
        <v>204.80999800000001</v>
      </c>
      <c r="D142">
        <v>197.220001</v>
      </c>
      <c r="E142">
        <v>204.66000399999999</v>
      </c>
      <c r="F142">
        <v>204.66000399999999</v>
      </c>
      <c r="G142">
        <v>32532500</v>
      </c>
      <c r="H142" s="2">
        <f t="shared" si="2"/>
        <v>1.1365897354388643E-2</v>
      </c>
      <c r="I142" s="2">
        <f>VLOOKUP(A142,AAPL!A:H,8,)</f>
        <v>-8.1400116479612983E-4</v>
      </c>
    </row>
    <row r="143" spans="1:9" x14ac:dyDescent="0.35">
      <c r="A143" s="1">
        <v>43671</v>
      </c>
      <c r="B143">
        <v>206.699997</v>
      </c>
      <c r="C143">
        <v>208.66000399999999</v>
      </c>
      <c r="D143">
        <v>198.259995</v>
      </c>
      <c r="E143">
        <v>200.71000699999999</v>
      </c>
      <c r="F143">
        <v>200.71000699999999</v>
      </c>
      <c r="G143">
        <v>39889900</v>
      </c>
      <c r="H143" s="2">
        <f t="shared" si="2"/>
        <v>-1.9300287905789304E-2</v>
      </c>
      <c r="I143" s="2">
        <f>VLOOKUP(A143,AAPL!A:H,8,)</f>
        <v>-7.9072027603391826E-3</v>
      </c>
    </row>
    <row r="144" spans="1:9" x14ac:dyDescent="0.35">
      <c r="A144" s="1">
        <v>43672</v>
      </c>
      <c r="B144">
        <v>200.19000199999999</v>
      </c>
      <c r="C144">
        <v>202.88000500000001</v>
      </c>
      <c r="D144">
        <v>196.25</v>
      </c>
      <c r="E144">
        <v>199.75</v>
      </c>
      <c r="F144">
        <v>199.75</v>
      </c>
      <c r="G144">
        <v>24434000</v>
      </c>
      <c r="H144" s="2">
        <f t="shared" si="2"/>
        <v>-4.783054987387847E-3</v>
      </c>
      <c r="I144" s="2">
        <f>VLOOKUP(A144,AAPL!A:H,8,)</f>
        <v>3.4779247709801897E-3</v>
      </c>
    </row>
    <row r="145" spans="1:9" x14ac:dyDescent="0.35">
      <c r="A145" s="1">
        <v>43675</v>
      </c>
      <c r="B145">
        <v>199</v>
      </c>
      <c r="C145">
        <v>199.63000500000001</v>
      </c>
      <c r="D145">
        <v>195.300003</v>
      </c>
      <c r="E145">
        <v>195.94000199999999</v>
      </c>
      <c r="F145">
        <v>195.94000199999999</v>
      </c>
      <c r="G145">
        <v>16530800</v>
      </c>
      <c r="H145" s="2">
        <f t="shared" si="2"/>
        <v>-1.9073832290362969E-2</v>
      </c>
      <c r="I145" s="2">
        <f>VLOOKUP(A145,AAPL!A:H,8,)</f>
        <v>9.3385383780006936E-3</v>
      </c>
    </row>
    <row r="146" spans="1:9" x14ac:dyDescent="0.35">
      <c r="A146" s="1">
        <v>43676</v>
      </c>
      <c r="B146">
        <v>195.38999899999999</v>
      </c>
      <c r="C146">
        <v>198.71000699999999</v>
      </c>
      <c r="D146">
        <v>193.5</v>
      </c>
      <c r="E146">
        <v>197.03999300000001</v>
      </c>
      <c r="F146">
        <v>197.03999300000001</v>
      </c>
      <c r="G146">
        <v>11903600</v>
      </c>
      <c r="H146" s="2">
        <f t="shared" si="2"/>
        <v>5.6139174684708415E-3</v>
      </c>
      <c r="I146" s="2">
        <f>VLOOKUP(A146,AAPL!A:H,8,)</f>
        <v>-4.2922168749415235E-3</v>
      </c>
    </row>
    <row r="147" spans="1:9" x14ac:dyDescent="0.35">
      <c r="A147" s="1">
        <v>43677</v>
      </c>
      <c r="B147">
        <v>196.949997</v>
      </c>
      <c r="C147">
        <v>198.759995</v>
      </c>
      <c r="D147">
        <v>192.679993</v>
      </c>
      <c r="E147">
        <v>194.229996</v>
      </c>
      <c r="F147">
        <v>194.229996</v>
      </c>
      <c r="G147">
        <v>14593500</v>
      </c>
      <c r="H147" s="2">
        <f t="shared" si="2"/>
        <v>-1.4261049024702377E-2</v>
      </c>
      <c r="I147" s="2">
        <f>VLOOKUP(A147,AAPL!A:H,8,)</f>
        <v>2.0404214963119172E-2</v>
      </c>
    </row>
    <row r="148" spans="1:9" x14ac:dyDescent="0.35">
      <c r="A148" s="1">
        <v>43678</v>
      </c>
      <c r="B148">
        <v>194.16999799999999</v>
      </c>
      <c r="C148">
        <v>198.470001</v>
      </c>
      <c r="D148">
        <v>190.88000500000001</v>
      </c>
      <c r="E148">
        <v>192.729996</v>
      </c>
      <c r="F148">
        <v>192.729996</v>
      </c>
      <c r="G148">
        <v>17777000</v>
      </c>
      <c r="H148" s="2">
        <f t="shared" si="2"/>
        <v>-7.7228030216300869E-3</v>
      </c>
      <c r="I148" s="2">
        <f>VLOOKUP(A148,AAPL!A:H,8,)</f>
        <v>-2.1639129614687613E-2</v>
      </c>
    </row>
    <row r="149" spans="1:9" x14ac:dyDescent="0.35">
      <c r="A149" s="1">
        <v>43679</v>
      </c>
      <c r="B149">
        <v>191.10000600000001</v>
      </c>
      <c r="C149">
        <v>192.61999499999999</v>
      </c>
      <c r="D149">
        <v>188.070007</v>
      </c>
      <c r="E149">
        <v>189.020004</v>
      </c>
      <c r="F149">
        <v>189.020004</v>
      </c>
      <c r="G149">
        <v>15297000</v>
      </c>
      <c r="H149" s="2">
        <f t="shared" si="2"/>
        <v>-1.9249686488863937E-2</v>
      </c>
      <c r="I149" s="2">
        <f>VLOOKUP(A149,AAPL!A:H,8,)</f>
        <v>-2.1158125842081321E-2</v>
      </c>
    </row>
    <row r="150" spans="1:9" x14ac:dyDescent="0.35">
      <c r="A150" s="1">
        <v>43682</v>
      </c>
      <c r="B150">
        <v>184.69000199999999</v>
      </c>
      <c r="C150">
        <v>185.66999799999999</v>
      </c>
      <c r="D150">
        <v>179.33999600000001</v>
      </c>
      <c r="E150">
        <v>181.729996</v>
      </c>
      <c r="F150">
        <v>181.729996</v>
      </c>
      <c r="G150">
        <v>23086700</v>
      </c>
      <c r="H150" s="2">
        <f t="shared" si="2"/>
        <v>-3.8567388878057551E-2</v>
      </c>
      <c r="I150" s="2">
        <f>VLOOKUP(A150,AAPL!A:H,8,)</f>
        <v>-5.234784722384378E-2</v>
      </c>
    </row>
    <row r="151" spans="1:9" x14ac:dyDescent="0.35">
      <c r="A151" s="1">
        <v>43683</v>
      </c>
      <c r="B151">
        <v>183.69000199999999</v>
      </c>
      <c r="C151">
        <v>185.78999300000001</v>
      </c>
      <c r="D151">
        <v>183.08999600000001</v>
      </c>
      <c r="E151">
        <v>184.509995</v>
      </c>
      <c r="F151">
        <v>184.509995</v>
      </c>
      <c r="G151">
        <v>18035700</v>
      </c>
      <c r="H151" s="2">
        <f t="shared" si="2"/>
        <v>1.5297414082373173E-2</v>
      </c>
      <c r="I151" s="2">
        <f>VLOOKUP(A151,AAPL!A:H,8,)</f>
        <v>1.8930402791567102E-2</v>
      </c>
    </row>
    <row r="152" spans="1:9" x14ac:dyDescent="0.35">
      <c r="A152" s="1">
        <v>43684</v>
      </c>
      <c r="B152">
        <v>183.60000600000001</v>
      </c>
      <c r="C152">
        <v>186.36999499999999</v>
      </c>
      <c r="D152">
        <v>181.220001</v>
      </c>
      <c r="E152">
        <v>185.14999399999999</v>
      </c>
      <c r="F152">
        <v>185.14999399999999</v>
      </c>
      <c r="G152">
        <v>15833200</v>
      </c>
      <c r="H152" s="2">
        <f t="shared" si="2"/>
        <v>3.4686413600519828E-3</v>
      </c>
      <c r="I152" s="2">
        <f>VLOOKUP(A152,AAPL!A:H,8,)</f>
        <v>1.0355289340101548E-2</v>
      </c>
    </row>
    <row r="153" spans="1:9" x14ac:dyDescent="0.35">
      <c r="A153" s="1">
        <v>43685</v>
      </c>
      <c r="B153">
        <v>186.61999499999999</v>
      </c>
      <c r="C153">
        <v>190.33999600000001</v>
      </c>
      <c r="D153">
        <v>184.050003</v>
      </c>
      <c r="E153">
        <v>190.16000399999999</v>
      </c>
      <c r="F153">
        <v>190.16000399999999</v>
      </c>
      <c r="G153">
        <v>14828900</v>
      </c>
      <c r="H153" s="2">
        <f t="shared" si="2"/>
        <v>2.7059196123981444E-2</v>
      </c>
      <c r="I153" s="2">
        <f>VLOOKUP(A153,AAPL!A:H,8,)</f>
        <v>2.2055869053692501E-2</v>
      </c>
    </row>
    <row r="154" spans="1:9" x14ac:dyDescent="0.35">
      <c r="A154" s="1">
        <v>43686</v>
      </c>
      <c r="B154">
        <v>190</v>
      </c>
      <c r="C154">
        <v>190.979996</v>
      </c>
      <c r="D154">
        <v>187.11999499999999</v>
      </c>
      <c r="E154">
        <v>187.85000600000001</v>
      </c>
      <c r="F154">
        <v>187.85000600000001</v>
      </c>
      <c r="G154">
        <v>11058800</v>
      </c>
      <c r="H154" s="2">
        <f t="shared" si="2"/>
        <v>-1.2147654351121973E-2</v>
      </c>
      <c r="I154" s="2">
        <f>VLOOKUP(A154,AAPL!A:H,8,)</f>
        <v>-1.1994239276183039E-2</v>
      </c>
    </row>
    <row r="155" spans="1:9" x14ac:dyDescent="0.35">
      <c r="A155" s="1">
        <v>43689</v>
      </c>
      <c r="B155">
        <v>186.85000600000001</v>
      </c>
      <c r="C155">
        <v>187.58999600000001</v>
      </c>
      <c r="D155">
        <v>184.46000699999999</v>
      </c>
      <c r="E155">
        <v>185.36999499999999</v>
      </c>
      <c r="F155">
        <v>185.36999499999999</v>
      </c>
      <c r="G155">
        <v>10930900</v>
      </c>
      <c r="H155" s="2">
        <f t="shared" si="2"/>
        <v>-1.3202081026284396E-2</v>
      </c>
      <c r="I155" s="2">
        <f>VLOOKUP(A155,AAPL!A:H,8,)</f>
        <v>-2.5374794260912825E-3</v>
      </c>
    </row>
    <row r="156" spans="1:9" x14ac:dyDescent="0.35">
      <c r="A156" s="1">
        <v>43690</v>
      </c>
      <c r="B156">
        <v>185.520004</v>
      </c>
      <c r="C156">
        <v>191.38000500000001</v>
      </c>
      <c r="D156">
        <v>185.36999499999999</v>
      </c>
      <c r="E156">
        <v>188.449997</v>
      </c>
      <c r="F156">
        <v>188.449997</v>
      </c>
      <c r="G156">
        <v>13577000</v>
      </c>
      <c r="H156" s="2">
        <f t="shared" si="2"/>
        <v>1.6615429050424346E-2</v>
      </c>
      <c r="I156" s="2">
        <f>VLOOKUP(A156,AAPL!A:H,8,)</f>
        <v>4.2348384723631005E-2</v>
      </c>
    </row>
    <row r="157" spans="1:9" x14ac:dyDescent="0.35">
      <c r="A157" s="1">
        <v>43691</v>
      </c>
      <c r="B157">
        <v>185.800003</v>
      </c>
      <c r="C157">
        <v>185.990005</v>
      </c>
      <c r="D157">
        <v>179.30999800000001</v>
      </c>
      <c r="E157">
        <v>179.71000699999999</v>
      </c>
      <c r="F157">
        <v>179.71000699999999</v>
      </c>
      <c r="G157">
        <v>18903700</v>
      </c>
      <c r="H157" s="2">
        <f t="shared" si="2"/>
        <v>-4.6378297368717902E-2</v>
      </c>
      <c r="I157" s="2">
        <f>VLOOKUP(A157,AAPL!A:H,8,)</f>
        <v>-2.9765038043738312E-2</v>
      </c>
    </row>
    <row r="158" spans="1:9" x14ac:dyDescent="0.35">
      <c r="A158" s="1">
        <v>43692</v>
      </c>
      <c r="B158">
        <v>180.949997</v>
      </c>
      <c r="C158">
        <v>183.199997</v>
      </c>
      <c r="D158">
        <v>180.029999</v>
      </c>
      <c r="E158">
        <v>182.58999600000001</v>
      </c>
      <c r="F158">
        <v>182.58999600000001</v>
      </c>
      <c r="G158">
        <v>12925900</v>
      </c>
      <c r="H158" s="2">
        <f t="shared" si="2"/>
        <v>1.6025757541704433E-2</v>
      </c>
      <c r="I158" s="2">
        <f>VLOOKUP(A158,AAPL!A:H,8,)</f>
        <v>-4.9814845869297075E-3</v>
      </c>
    </row>
    <row r="159" spans="1:9" x14ac:dyDescent="0.35">
      <c r="A159" s="1">
        <v>43693</v>
      </c>
      <c r="B159">
        <v>183.75</v>
      </c>
      <c r="C159">
        <v>185.10000600000001</v>
      </c>
      <c r="D159">
        <v>182.36000100000001</v>
      </c>
      <c r="E159">
        <v>183.699997</v>
      </c>
      <c r="F159">
        <v>183.699997</v>
      </c>
      <c r="G159">
        <v>12654600</v>
      </c>
      <c r="H159" s="2">
        <f t="shared" si="2"/>
        <v>6.0791994321527376E-3</v>
      </c>
      <c r="I159" s="2">
        <f>VLOOKUP(A159,AAPL!A:H,8,)</f>
        <v>2.3594705589477405E-2</v>
      </c>
    </row>
    <row r="160" spans="1:9" x14ac:dyDescent="0.35">
      <c r="A160" s="1">
        <v>43696</v>
      </c>
      <c r="B160">
        <v>186.009995</v>
      </c>
      <c r="C160">
        <v>187.5</v>
      </c>
      <c r="D160">
        <v>184.85000600000001</v>
      </c>
      <c r="E160">
        <v>186.16999799999999</v>
      </c>
      <c r="F160">
        <v>186.16999799999999</v>
      </c>
      <c r="G160">
        <v>9691200</v>
      </c>
      <c r="H160" s="2">
        <f t="shared" si="2"/>
        <v>1.3445841264766001E-2</v>
      </c>
      <c r="I160" s="2">
        <f>VLOOKUP(A160,AAPL!A:H,8,)</f>
        <v>1.8644106537530236E-2</v>
      </c>
    </row>
    <row r="161" spans="1:9" x14ac:dyDescent="0.35">
      <c r="A161" s="1">
        <v>43697</v>
      </c>
      <c r="B161">
        <v>185.449997</v>
      </c>
      <c r="C161">
        <v>186</v>
      </c>
      <c r="D161">
        <v>182.38999899999999</v>
      </c>
      <c r="E161">
        <v>183.80999800000001</v>
      </c>
      <c r="F161">
        <v>183.80999800000001</v>
      </c>
      <c r="G161">
        <v>10083400</v>
      </c>
      <c r="H161" s="2">
        <f t="shared" si="2"/>
        <v>-1.2676586052281058E-2</v>
      </c>
      <c r="I161" s="2">
        <f>VLOOKUP(A161,AAPL!A:H,8,)</f>
        <v>4.7501780936487492E-5</v>
      </c>
    </row>
    <row r="162" spans="1:9" x14ac:dyDescent="0.35">
      <c r="A162" s="1">
        <v>43698</v>
      </c>
      <c r="B162">
        <v>185</v>
      </c>
      <c r="C162">
        <v>185.89999399999999</v>
      </c>
      <c r="D162">
        <v>183.13999899999999</v>
      </c>
      <c r="E162">
        <v>183.550003</v>
      </c>
      <c r="F162">
        <v>183.550003</v>
      </c>
      <c r="G162">
        <v>8398200</v>
      </c>
      <c r="H162" s="2">
        <f t="shared" si="2"/>
        <v>-1.4144769208909169E-3</v>
      </c>
      <c r="I162" s="2">
        <f>VLOOKUP(A162,AAPL!A:H,8,)</f>
        <v>1.0838562464346779E-2</v>
      </c>
    </row>
    <row r="163" spans="1:9" x14ac:dyDescent="0.35">
      <c r="A163" s="1">
        <v>43699</v>
      </c>
      <c r="B163">
        <v>183.429993</v>
      </c>
      <c r="C163">
        <v>184.11000100000001</v>
      </c>
      <c r="D163">
        <v>179.91000399999999</v>
      </c>
      <c r="E163">
        <v>182.03999300000001</v>
      </c>
      <c r="F163">
        <v>182.03999300000001</v>
      </c>
      <c r="G163">
        <v>10821400</v>
      </c>
      <c r="H163" s="2">
        <f t="shared" si="2"/>
        <v>-8.2266955887764226E-3</v>
      </c>
      <c r="I163" s="2">
        <f>VLOOKUP(A163,AAPL!A:H,8,)</f>
        <v>-8.4646350639583368E-4</v>
      </c>
    </row>
    <row r="164" spans="1:9" x14ac:dyDescent="0.35">
      <c r="A164" s="1">
        <v>43700</v>
      </c>
      <c r="B164">
        <v>180.83999600000001</v>
      </c>
      <c r="C164">
        <v>183.13000500000001</v>
      </c>
      <c r="D164">
        <v>176.66000399999999</v>
      </c>
      <c r="E164">
        <v>177.75</v>
      </c>
      <c r="F164">
        <v>177.75</v>
      </c>
      <c r="G164">
        <v>17323400</v>
      </c>
      <c r="H164" s="2">
        <f t="shared" si="2"/>
        <v>-2.3566211629111655E-2</v>
      </c>
      <c r="I164" s="2">
        <f>VLOOKUP(A164,AAPL!A:H,8,)</f>
        <v>-4.6220500942464438E-2</v>
      </c>
    </row>
    <row r="165" spans="1:9" x14ac:dyDescent="0.35">
      <c r="A165" s="1">
        <v>43703</v>
      </c>
      <c r="B165">
        <v>179.39999399999999</v>
      </c>
      <c r="C165">
        <v>180.5</v>
      </c>
      <c r="D165">
        <v>178.240005</v>
      </c>
      <c r="E165">
        <v>180.36000100000001</v>
      </c>
      <c r="F165">
        <v>180.36000100000001</v>
      </c>
      <c r="G165">
        <v>8773600</v>
      </c>
      <c r="H165" s="2">
        <f t="shared" si="2"/>
        <v>1.4683549929676465E-2</v>
      </c>
      <c r="I165" s="2">
        <f>VLOOKUP(A165,AAPL!A:H,8,)</f>
        <v>1.8999230161863556E-2</v>
      </c>
    </row>
    <row r="166" spans="1:9" x14ac:dyDescent="0.35">
      <c r="A166" s="1">
        <v>43704</v>
      </c>
      <c r="B166">
        <v>181.929993</v>
      </c>
      <c r="C166">
        <v>184.03999300000001</v>
      </c>
      <c r="D166">
        <v>181.009995</v>
      </c>
      <c r="E166">
        <v>181.300003</v>
      </c>
      <c r="F166">
        <v>181.300003</v>
      </c>
      <c r="G166">
        <v>14399600</v>
      </c>
      <c r="H166" s="2">
        <f t="shared" si="2"/>
        <v>5.2118096850086726E-3</v>
      </c>
      <c r="I166" s="2">
        <f>VLOOKUP(A166,AAPL!A:H,8,)</f>
        <v>-1.1283839192525846E-2</v>
      </c>
    </row>
    <row r="167" spans="1:9" x14ac:dyDescent="0.35">
      <c r="A167" s="1">
        <v>43705</v>
      </c>
      <c r="B167">
        <v>180.529999</v>
      </c>
      <c r="C167">
        <v>181.949997</v>
      </c>
      <c r="D167">
        <v>178.91999799999999</v>
      </c>
      <c r="E167">
        <v>181.759995</v>
      </c>
      <c r="F167">
        <v>181.759995</v>
      </c>
      <c r="G167">
        <v>9386100</v>
      </c>
      <c r="H167" s="2">
        <f t="shared" si="2"/>
        <v>2.5371869409180903E-3</v>
      </c>
      <c r="I167" s="2">
        <f>VLOOKUP(A167,AAPL!A:H,8,)</f>
        <v>6.7104034735423479E-3</v>
      </c>
    </row>
    <row r="168" spans="1:9" x14ac:dyDescent="0.35">
      <c r="A168" s="1">
        <v>43706</v>
      </c>
      <c r="B168">
        <v>183.770004</v>
      </c>
      <c r="C168">
        <v>186.08000200000001</v>
      </c>
      <c r="D168">
        <v>183.470001</v>
      </c>
      <c r="E168">
        <v>185.570007</v>
      </c>
      <c r="F168">
        <v>185.570007</v>
      </c>
      <c r="G168">
        <v>10128700</v>
      </c>
      <c r="H168" s="2">
        <f t="shared" si="2"/>
        <v>2.0961774344238959E-2</v>
      </c>
      <c r="I168" s="2">
        <f>VLOOKUP(A168,AAPL!A:H,8,)</f>
        <v>1.6931815306767906E-2</v>
      </c>
    </row>
    <row r="169" spans="1:9" x14ac:dyDescent="0.35">
      <c r="A169" s="1">
        <v>43707</v>
      </c>
      <c r="B169">
        <v>186.779999</v>
      </c>
      <c r="C169">
        <v>186.800003</v>
      </c>
      <c r="D169">
        <v>183.46000699999999</v>
      </c>
      <c r="E169">
        <v>185.66999799999999</v>
      </c>
      <c r="F169">
        <v>185.66999799999999</v>
      </c>
      <c r="G169">
        <v>10774500</v>
      </c>
      <c r="H169" s="2">
        <f t="shared" si="2"/>
        <v>5.388316873857768E-4</v>
      </c>
      <c r="I169" s="2">
        <f>VLOOKUP(A169,AAPL!A:H,8,)</f>
        <v>-1.291765968934766E-3</v>
      </c>
    </row>
    <row r="170" spans="1:9" x14ac:dyDescent="0.35">
      <c r="A170" s="1">
        <v>43711</v>
      </c>
      <c r="B170">
        <v>184</v>
      </c>
      <c r="C170">
        <v>185.66999799999999</v>
      </c>
      <c r="D170">
        <v>182.11000100000001</v>
      </c>
      <c r="E170">
        <v>182.38999899999999</v>
      </c>
      <c r="F170">
        <v>182.38999899999999</v>
      </c>
      <c r="G170">
        <v>9779400</v>
      </c>
      <c r="H170" s="2">
        <f t="shared" si="2"/>
        <v>-1.7665745868107319E-2</v>
      </c>
      <c r="I170" s="2">
        <f>VLOOKUP(A170,AAPL!A:H,8,)</f>
        <v>-1.4563609953748946E-2</v>
      </c>
    </row>
    <row r="171" spans="1:9" x14ac:dyDescent="0.35">
      <c r="A171" s="1">
        <v>43712</v>
      </c>
      <c r="B171">
        <v>184.64999399999999</v>
      </c>
      <c r="C171">
        <v>187.75</v>
      </c>
      <c r="D171">
        <v>183.88999899999999</v>
      </c>
      <c r="E171">
        <v>187.13999899999999</v>
      </c>
      <c r="F171">
        <v>187.13999899999999</v>
      </c>
      <c r="G171">
        <v>11308000</v>
      </c>
      <c r="H171" s="2">
        <f t="shared" si="2"/>
        <v>2.6043094610686435E-2</v>
      </c>
      <c r="I171" s="2">
        <f>VLOOKUP(A171,AAPL!A:H,8,)</f>
        <v>1.6966495225405831E-2</v>
      </c>
    </row>
    <row r="172" spans="1:9" x14ac:dyDescent="0.35">
      <c r="A172" s="1">
        <v>43713</v>
      </c>
      <c r="B172">
        <v>188.529999</v>
      </c>
      <c r="C172">
        <v>191.36000100000001</v>
      </c>
      <c r="D172">
        <v>187.94000199999999</v>
      </c>
      <c r="E172">
        <v>190.89999399999999</v>
      </c>
      <c r="F172">
        <v>190.89999399999999</v>
      </c>
      <c r="G172">
        <v>13876700</v>
      </c>
      <c r="H172" s="2">
        <f t="shared" si="2"/>
        <v>2.0091883189547355E-2</v>
      </c>
      <c r="I172" s="2">
        <f>VLOOKUP(A172,AAPL!A:H,8,)</f>
        <v>1.9551584309927206E-2</v>
      </c>
    </row>
    <row r="173" spans="1:9" x14ac:dyDescent="0.35">
      <c r="A173" s="1">
        <v>43714</v>
      </c>
      <c r="B173">
        <v>190.21000699999999</v>
      </c>
      <c r="C173">
        <v>190.21000699999999</v>
      </c>
      <c r="D173">
        <v>186.35000600000001</v>
      </c>
      <c r="E173">
        <v>187.490005</v>
      </c>
      <c r="F173">
        <v>187.490005</v>
      </c>
      <c r="G173">
        <v>15226800</v>
      </c>
      <c r="H173" s="2">
        <f t="shared" si="2"/>
        <v>-1.7862698308937608E-2</v>
      </c>
      <c r="I173" s="2">
        <f>VLOOKUP(A173,AAPL!A:H,8,)</f>
        <v>-9.3792198049502673E-5</v>
      </c>
    </row>
    <row r="174" spans="1:9" x14ac:dyDescent="0.35">
      <c r="A174" s="1">
        <v>43717</v>
      </c>
      <c r="B174">
        <v>187.729996</v>
      </c>
      <c r="C174">
        <v>188.979996</v>
      </c>
      <c r="D174">
        <v>185.85000600000001</v>
      </c>
      <c r="E174">
        <v>188.759995</v>
      </c>
      <c r="F174">
        <v>188.759995</v>
      </c>
      <c r="G174">
        <v>14722400</v>
      </c>
      <c r="H174" s="2">
        <f t="shared" si="2"/>
        <v>6.7736410802272662E-3</v>
      </c>
      <c r="I174" s="2">
        <f>VLOOKUP(A174,AAPL!A:H,8,)</f>
        <v>4.2671106492939703E-3</v>
      </c>
    </row>
    <row r="175" spans="1:9" x14ac:dyDescent="0.35">
      <c r="A175" s="1">
        <v>43718</v>
      </c>
      <c r="B175">
        <v>187.44000199999999</v>
      </c>
      <c r="C175">
        <v>188.10000600000001</v>
      </c>
      <c r="D175">
        <v>184.550003</v>
      </c>
      <c r="E175">
        <v>186.16999799999999</v>
      </c>
      <c r="F175">
        <v>186.16999799999999</v>
      </c>
      <c r="G175">
        <v>15455900</v>
      </c>
      <c r="H175" s="2">
        <f t="shared" si="2"/>
        <v>-1.3721111827747268E-2</v>
      </c>
      <c r="I175" s="2">
        <f>VLOOKUP(A175,AAPL!A:H,8,)</f>
        <v>1.1813027034598633E-2</v>
      </c>
    </row>
    <row r="176" spans="1:9" x14ac:dyDescent="0.35">
      <c r="A176" s="1">
        <v>43719</v>
      </c>
      <c r="B176">
        <v>186.46000699999999</v>
      </c>
      <c r="C176">
        <v>189.44000199999999</v>
      </c>
      <c r="D176">
        <v>186.08000200000001</v>
      </c>
      <c r="E176">
        <v>188.490005</v>
      </c>
      <c r="F176">
        <v>188.490005</v>
      </c>
      <c r="G176">
        <v>11761700</v>
      </c>
      <c r="H176" s="2">
        <f t="shared" si="2"/>
        <v>1.2461766261607776E-2</v>
      </c>
      <c r="I176" s="2">
        <f>VLOOKUP(A176,AAPL!A:H,8,)</f>
        <v>3.1795109031750979E-2</v>
      </c>
    </row>
    <row r="177" spans="1:9" x14ac:dyDescent="0.35">
      <c r="A177" s="1">
        <v>43720</v>
      </c>
      <c r="B177">
        <v>189.86000100000001</v>
      </c>
      <c r="C177">
        <v>190.929993</v>
      </c>
      <c r="D177">
        <v>187.229996</v>
      </c>
      <c r="E177">
        <v>187.470001</v>
      </c>
      <c r="F177">
        <v>187.470001</v>
      </c>
      <c r="G177">
        <v>11419800</v>
      </c>
      <c r="H177" s="2">
        <f t="shared" si="2"/>
        <v>-5.4114487396824673E-3</v>
      </c>
      <c r="I177" s="2">
        <f>VLOOKUP(A177,AAPL!A:H,8,)</f>
        <v>-2.2362360076253474E-3</v>
      </c>
    </row>
    <row r="178" spans="1:9" x14ac:dyDescent="0.35">
      <c r="A178" s="1">
        <v>43721</v>
      </c>
      <c r="B178">
        <v>187.33000200000001</v>
      </c>
      <c r="C178">
        <v>187.970001</v>
      </c>
      <c r="D178">
        <v>186.53999300000001</v>
      </c>
      <c r="E178">
        <v>187.19000199999999</v>
      </c>
      <c r="F178">
        <v>187.19000199999999</v>
      </c>
      <c r="G178">
        <v>11441100</v>
      </c>
      <c r="H178" s="2">
        <f t="shared" si="2"/>
        <v>-1.4935669627483827E-3</v>
      </c>
      <c r="I178" s="2">
        <f>VLOOKUP(A178,AAPL!A:H,8,)</f>
        <v>-1.9454014423847199E-2</v>
      </c>
    </row>
    <row r="179" spans="1:9" x14ac:dyDescent="0.35">
      <c r="A179" s="1">
        <v>43724</v>
      </c>
      <c r="B179">
        <v>186.929993</v>
      </c>
      <c r="C179">
        <v>187.78999300000001</v>
      </c>
      <c r="D179">
        <v>185.770004</v>
      </c>
      <c r="E179">
        <v>186.220001</v>
      </c>
      <c r="F179">
        <v>186.220001</v>
      </c>
      <c r="G179">
        <v>8444800</v>
      </c>
      <c r="H179" s="2">
        <f t="shared" si="2"/>
        <v>-5.1819060293615271E-3</v>
      </c>
      <c r="I179" s="2">
        <f>VLOOKUP(A179,AAPL!A:H,8,)</f>
        <v>5.2571062857142969E-3</v>
      </c>
    </row>
    <row r="180" spans="1:9" x14ac:dyDescent="0.35">
      <c r="A180" s="1">
        <v>43725</v>
      </c>
      <c r="B180">
        <v>186.66000399999999</v>
      </c>
      <c r="C180">
        <v>188.320007</v>
      </c>
      <c r="D180">
        <v>185.53999300000001</v>
      </c>
      <c r="E180">
        <v>188.08000200000001</v>
      </c>
      <c r="F180">
        <v>188.08000200000001</v>
      </c>
      <c r="G180">
        <v>9671100</v>
      </c>
      <c r="H180" s="2">
        <f t="shared" si="2"/>
        <v>9.9881913328956351E-3</v>
      </c>
      <c r="I180" s="2">
        <f>VLOOKUP(A180,AAPL!A:H,8,)</f>
        <v>3.6380356030207839E-3</v>
      </c>
    </row>
    <row r="181" spans="1:9" x14ac:dyDescent="0.35">
      <c r="A181" s="1">
        <v>43726</v>
      </c>
      <c r="B181">
        <v>188.08999600000001</v>
      </c>
      <c r="C181">
        <v>189.08000200000001</v>
      </c>
      <c r="D181">
        <v>186.009995</v>
      </c>
      <c r="E181">
        <v>188.13999899999999</v>
      </c>
      <c r="F181">
        <v>188.13999899999999</v>
      </c>
      <c r="G181">
        <v>9681900</v>
      </c>
      <c r="H181" s="2">
        <f t="shared" si="2"/>
        <v>3.1899723182671202E-4</v>
      </c>
      <c r="I181" s="2">
        <f>VLOOKUP(A181,AAPL!A:H,8,)</f>
        <v>9.3792842660496145E-3</v>
      </c>
    </row>
    <row r="182" spans="1:9" x14ac:dyDescent="0.35">
      <c r="A182" s="1">
        <v>43727</v>
      </c>
      <c r="B182">
        <v>188.66000399999999</v>
      </c>
      <c r="C182">
        <v>191.10000600000001</v>
      </c>
      <c r="D182">
        <v>188.14999399999999</v>
      </c>
      <c r="E182">
        <v>190.13999899999999</v>
      </c>
      <c r="F182">
        <v>190.13999899999999</v>
      </c>
      <c r="G182">
        <v>10392700</v>
      </c>
      <c r="H182" s="2">
        <f t="shared" si="2"/>
        <v>1.0630381687203094E-2</v>
      </c>
      <c r="I182" s="2">
        <f>VLOOKUP(A182,AAPL!A:H,8,)</f>
        <v>-8.1249538425290924E-3</v>
      </c>
    </row>
    <row r="183" spans="1:9" x14ac:dyDescent="0.35">
      <c r="A183" s="1">
        <v>43728</v>
      </c>
      <c r="B183">
        <v>190.66000399999999</v>
      </c>
      <c r="C183">
        <v>193.10000600000001</v>
      </c>
      <c r="D183">
        <v>188.11999499999999</v>
      </c>
      <c r="E183">
        <v>189.929993</v>
      </c>
      <c r="F183">
        <v>189.929993</v>
      </c>
      <c r="G183">
        <v>19934200</v>
      </c>
      <c r="H183" s="2">
        <f t="shared" si="2"/>
        <v>-1.1044809146127932E-3</v>
      </c>
      <c r="I183" s="2">
        <f>VLOOKUP(A183,AAPL!A:H,8,)</f>
        <v>-1.4618084191959202E-2</v>
      </c>
    </row>
    <row r="184" spans="1:9" x14ac:dyDescent="0.35">
      <c r="A184" s="1">
        <v>43731</v>
      </c>
      <c r="B184">
        <v>189.33999600000001</v>
      </c>
      <c r="C184">
        <v>190.10000600000001</v>
      </c>
      <c r="D184">
        <v>185.21000699999999</v>
      </c>
      <c r="E184">
        <v>186.820007</v>
      </c>
      <c r="F184">
        <v>186.820007</v>
      </c>
      <c r="G184">
        <v>13327600</v>
      </c>
      <c r="H184" s="2">
        <f t="shared" si="2"/>
        <v>-1.6374380638238595E-2</v>
      </c>
      <c r="I184" s="2">
        <f>VLOOKUP(A184,AAPL!A:H,8,)</f>
        <v>4.5469343599309209E-3</v>
      </c>
    </row>
    <row r="185" spans="1:9" x14ac:dyDescent="0.35">
      <c r="A185" s="1">
        <v>43732</v>
      </c>
      <c r="B185">
        <v>187.979996</v>
      </c>
      <c r="C185">
        <v>188.03999300000001</v>
      </c>
      <c r="D185">
        <v>180.38999899999999</v>
      </c>
      <c r="E185">
        <v>181.279999</v>
      </c>
      <c r="F185">
        <v>181.279999</v>
      </c>
      <c r="G185">
        <v>18546600</v>
      </c>
      <c r="H185" s="2">
        <f t="shared" si="2"/>
        <v>-2.9654254321915374E-2</v>
      </c>
      <c r="I185" s="2">
        <f>VLOOKUP(A185,AAPL!A:H,8,)</f>
        <v>-4.7549743964886426E-3</v>
      </c>
    </row>
    <row r="186" spans="1:9" x14ac:dyDescent="0.35">
      <c r="A186" s="1">
        <v>43733</v>
      </c>
      <c r="B186">
        <v>181.449997</v>
      </c>
      <c r="C186">
        <v>183.41999799999999</v>
      </c>
      <c r="D186">
        <v>177.86999499999999</v>
      </c>
      <c r="E186">
        <v>182.800003</v>
      </c>
      <c r="F186">
        <v>182.800003</v>
      </c>
      <c r="G186">
        <v>18068300</v>
      </c>
      <c r="H186" s="2">
        <f t="shared" si="2"/>
        <v>8.3848411759974706E-3</v>
      </c>
      <c r="I186" s="2">
        <f>VLOOKUP(A186,AAPL!A:H,8,)</f>
        <v>1.5389599977567059E-2</v>
      </c>
    </row>
    <row r="187" spans="1:9" x14ac:dyDescent="0.35">
      <c r="A187" s="1">
        <v>43734</v>
      </c>
      <c r="B187">
        <v>181.33000200000001</v>
      </c>
      <c r="C187">
        <v>181.39999399999999</v>
      </c>
      <c r="D187">
        <v>177.66999799999999</v>
      </c>
      <c r="E187">
        <v>180.11000100000001</v>
      </c>
      <c r="F187">
        <v>180.11000100000001</v>
      </c>
      <c r="G187">
        <v>16083300</v>
      </c>
      <c r="H187" s="2">
        <f t="shared" si="2"/>
        <v>-1.471554680444942E-2</v>
      </c>
      <c r="I187" s="2">
        <f>VLOOKUP(A187,AAPL!A:H,8,)</f>
        <v>-5.1576709044022229E-3</v>
      </c>
    </row>
    <row r="188" spans="1:9" x14ac:dyDescent="0.35">
      <c r="A188" s="1">
        <v>43735</v>
      </c>
      <c r="B188">
        <v>180.490005</v>
      </c>
      <c r="C188">
        <v>180.759995</v>
      </c>
      <c r="D188">
        <v>175.66000399999999</v>
      </c>
      <c r="E188">
        <v>177.10000600000001</v>
      </c>
      <c r="F188">
        <v>177.10000600000001</v>
      </c>
      <c r="G188">
        <v>14656200</v>
      </c>
      <c r="H188" s="2">
        <f t="shared" si="2"/>
        <v>-1.6711981474032633E-2</v>
      </c>
      <c r="I188" s="2">
        <f>VLOOKUP(A188,AAPL!A:H,8,)</f>
        <v>-4.8660330165082311E-3</v>
      </c>
    </row>
    <row r="189" spans="1:9" x14ac:dyDescent="0.35">
      <c r="A189" s="1">
        <v>43738</v>
      </c>
      <c r="B189">
        <v>177.86999499999999</v>
      </c>
      <c r="C189">
        <v>178.66999799999999</v>
      </c>
      <c r="D189">
        <v>176.85000600000001</v>
      </c>
      <c r="E189">
        <v>178.08000200000001</v>
      </c>
      <c r="F189">
        <v>178.08000200000001</v>
      </c>
      <c r="G189">
        <v>10740000</v>
      </c>
      <c r="H189" s="2">
        <f t="shared" si="2"/>
        <v>5.5335740643622788E-3</v>
      </c>
      <c r="I189" s="2">
        <f>VLOOKUP(A189,AAPL!A:H,8,)</f>
        <v>2.3535288418415456E-2</v>
      </c>
    </row>
    <row r="190" spans="1:9" x14ac:dyDescent="0.35">
      <c r="A190" s="1">
        <v>43739</v>
      </c>
      <c r="B190">
        <v>179.14999399999999</v>
      </c>
      <c r="C190">
        <v>179.83999600000001</v>
      </c>
      <c r="D190">
        <v>174.88000500000001</v>
      </c>
      <c r="E190">
        <v>175.80999800000001</v>
      </c>
      <c r="F190">
        <v>175.80999800000001</v>
      </c>
      <c r="G190">
        <v>17073000</v>
      </c>
      <c r="H190" s="2">
        <f t="shared" si="2"/>
        <v>-1.2747102282714473E-2</v>
      </c>
      <c r="I190" s="2">
        <f>VLOOKUP(A190,AAPL!A:H,8,)</f>
        <v>2.7682100281287703E-3</v>
      </c>
    </row>
    <row r="191" spans="1:9" x14ac:dyDescent="0.35">
      <c r="A191" s="1">
        <v>43740</v>
      </c>
      <c r="B191">
        <v>174.83999600000001</v>
      </c>
      <c r="C191">
        <v>176.529999</v>
      </c>
      <c r="D191">
        <v>173.08999600000001</v>
      </c>
      <c r="E191">
        <v>174.60000600000001</v>
      </c>
      <c r="F191">
        <v>174.60000600000001</v>
      </c>
      <c r="G191">
        <v>16151700</v>
      </c>
      <c r="H191" s="2">
        <f t="shared" si="2"/>
        <v>-6.882384470535019E-3</v>
      </c>
      <c r="I191" s="2">
        <f>VLOOKUP(A191,AAPL!A:H,8,)</f>
        <v>-2.506784852518551E-2</v>
      </c>
    </row>
    <row r="192" spans="1:9" x14ac:dyDescent="0.35">
      <c r="A192" s="1">
        <v>43741</v>
      </c>
      <c r="B192">
        <v>175.570007</v>
      </c>
      <c r="C192">
        <v>179.83999600000001</v>
      </c>
      <c r="D192">
        <v>173.63000500000001</v>
      </c>
      <c r="E192">
        <v>179.38000500000001</v>
      </c>
      <c r="F192">
        <v>179.38000500000001</v>
      </c>
      <c r="G192">
        <v>16086300</v>
      </c>
      <c r="H192" s="2">
        <f t="shared" si="2"/>
        <v>2.7376854729317834E-2</v>
      </c>
      <c r="I192" s="2">
        <f>VLOOKUP(A192,AAPL!A:H,8,)</f>
        <v>8.49470191835211E-3</v>
      </c>
    </row>
    <row r="193" spans="1:9" x14ac:dyDescent="0.35">
      <c r="A193" s="1">
        <v>43742</v>
      </c>
      <c r="B193">
        <v>179.550003</v>
      </c>
      <c r="C193">
        <v>180.979996</v>
      </c>
      <c r="D193">
        <v>178.10000600000001</v>
      </c>
      <c r="E193">
        <v>180.449997</v>
      </c>
      <c r="F193">
        <v>180.449997</v>
      </c>
      <c r="G193">
        <v>10430200</v>
      </c>
      <c r="H193" s="2">
        <f t="shared" si="2"/>
        <v>5.9649457585866372E-3</v>
      </c>
      <c r="I193" s="2">
        <f>VLOOKUP(A193,AAPL!A:H,8,)</f>
        <v>2.8031825811726252E-2</v>
      </c>
    </row>
    <row r="194" spans="1:9" x14ac:dyDescent="0.35">
      <c r="A194" s="1">
        <v>43745</v>
      </c>
      <c r="B194">
        <v>180</v>
      </c>
      <c r="C194">
        <v>181.179993</v>
      </c>
      <c r="D194">
        <v>178.08999600000001</v>
      </c>
      <c r="E194">
        <v>179.679993</v>
      </c>
      <c r="F194">
        <v>179.679993</v>
      </c>
      <c r="G194">
        <v>9178300</v>
      </c>
      <c r="H194" s="2">
        <f t="shared" si="2"/>
        <v>-4.2671322405175571E-3</v>
      </c>
      <c r="I194" s="2">
        <f>VLOOKUP(A194,AAPL!A:H,8,)</f>
        <v>2.2025461821528758E-4</v>
      </c>
    </row>
    <row r="195" spans="1:9" x14ac:dyDescent="0.35">
      <c r="A195" s="1">
        <v>43746</v>
      </c>
      <c r="B195">
        <v>178.259995</v>
      </c>
      <c r="C195">
        <v>180.36999499999999</v>
      </c>
      <c r="D195">
        <v>177.720001</v>
      </c>
      <c r="E195">
        <v>177.75</v>
      </c>
      <c r="F195">
        <v>177.75</v>
      </c>
      <c r="G195">
        <v>9466900</v>
      </c>
      <c r="H195" s="2">
        <f t="shared" si="2"/>
        <v>-1.0741279358798761E-2</v>
      </c>
      <c r="I195" s="2">
        <f>VLOOKUP(A195,AAPL!A:H,8,)</f>
        <v>-1.1714983030300163E-2</v>
      </c>
    </row>
    <row r="196" spans="1:9" x14ac:dyDescent="0.35">
      <c r="A196" s="1">
        <v>43747</v>
      </c>
      <c r="B196">
        <v>179.16000399999999</v>
      </c>
      <c r="C196">
        <v>180.720001</v>
      </c>
      <c r="D196">
        <v>177.94000199999999</v>
      </c>
      <c r="E196">
        <v>179.85000600000001</v>
      </c>
      <c r="F196">
        <v>179.85000600000001</v>
      </c>
      <c r="G196">
        <v>7556900</v>
      </c>
      <c r="H196" s="2">
        <f t="shared" ref="H196:H259" si="3">E196/E195-1</f>
        <v>1.1814379746835524E-2</v>
      </c>
      <c r="I196" s="2">
        <f>VLOOKUP(A196,AAPL!A:H,8,)</f>
        <v>1.1720178670951098E-2</v>
      </c>
    </row>
    <row r="197" spans="1:9" x14ac:dyDescent="0.35">
      <c r="A197" s="1">
        <v>43748</v>
      </c>
      <c r="B197">
        <v>180.320007</v>
      </c>
      <c r="C197">
        <v>181.61000100000001</v>
      </c>
      <c r="D197">
        <v>179.16999799999999</v>
      </c>
      <c r="E197">
        <v>180.029999</v>
      </c>
      <c r="F197">
        <v>180.029999</v>
      </c>
      <c r="G197">
        <v>8605000</v>
      </c>
      <c r="H197" s="2">
        <f t="shared" si="3"/>
        <v>1.0007950736459215E-3</v>
      </c>
      <c r="I197" s="2">
        <f>VLOOKUP(A197,AAPL!A:H,8,)</f>
        <v>1.3478377306963996E-2</v>
      </c>
    </row>
    <row r="198" spans="1:9" x14ac:dyDescent="0.35">
      <c r="A198" s="1">
        <v>43749</v>
      </c>
      <c r="B198">
        <v>182.14999399999999</v>
      </c>
      <c r="C198">
        <v>186.490005</v>
      </c>
      <c r="D198">
        <v>182.13999899999999</v>
      </c>
      <c r="E198">
        <v>184.19000199999999</v>
      </c>
      <c r="F198">
        <v>184.19000199999999</v>
      </c>
      <c r="G198">
        <v>14930500</v>
      </c>
      <c r="H198" s="2">
        <f t="shared" si="3"/>
        <v>2.3107276693369316E-2</v>
      </c>
      <c r="I198" s="2">
        <f>VLOOKUP(A198,AAPL!A:H,8,)</f>
        <v>2.6598340242484753E-2</v>
      </c>
    </row>
    <row r="199" spans="1:9" x14ac:dyDescent="0.35">
      <c r="A199" s="1">
        <v>43752</v>
      </c>
      <c r="B199">
        <v>184.199997</v>
      </c>
      <c r="C199">
        <v>184.61999499999999</v>
      </c>
      <c r="D199">
        <v>182.570007</v>
      </c>
      <c r="E199">
        <v>183.279999</v>
      </c>
      <c r="F199">
        <v>183.279999</v>
      </c>
      <c r="G199">
        <v>7006000</v>
      </c>
      <c r="H199" s="2">
        <f t="shared" si="3"/>
        <v>-4.940566752369091E-3</v>
      </c>
      <c r="I199" s="2">
        <f>VLOOKUP(A199,AAPL!A:H,8,)</f>
        <v>-1.4394479001076377E-3</v>
      </c>
    </row>
    <row r="200" spans="1:9" x14ac:dyDescent="0.35">
      <c r="A200" s="1">
        <v>43753</v>
      </c>
      <c r="B200">
        <v>183.800003</v>
      </c>
      <c r="C200">
        <v>190.38000500000001</v>
      </c>
      <c r="D200">
        <v>183.66000399999999</v>
      </c>
      <c r="E200">
        <v>188.88999899999999</v>
      </c>
      <c r="F200">
        <v>188.88999899999999</v>
      </c>
      <c r="G200">
        <v>15039100</v>
      </c>
      <c r="H200" s="2">
        <f t="shared" si="3"/>
        <v>3.0608904575561313E-2</v>
      </c>
      <c r="I200" s="2">
        <f>VLOOKUP(A200,AAPL!A:H,8,)</f>
        <v>-2.3317421008477446E-3</v>
      </c>
    </row>
    <row r="201" spans="1:9" x14ac:dyDescent="0.35">
      <c r="A201" s="1">
        <v>43754</v>
      </c>
      <c r="B201">
        <v>188.320007</v>
      </c>
      <c r="C201">
        <v>189.699997</v>
      </c>
      <c r="D201">
        <v>186.89999399999999</v>
      </c>
      <c r="E201">
        <v>189.550003</v>
      </c>
      <c r="F201">
        <v>189.550003</v>
      </c>
      <c r="G201">
        <v>10516900</v>
      </c>
      <c r="H201" s="2">
        <f t="shared" si="3"/>
        <v>3.4941182883907462E-3</v>
      </c>
      <c r="I201" s="2">
        <f>VLOOKUP(A201,AAPL!A:H,8,)</f>
        <v>-4.0371067809925609E-3</v>
      </c>
    </row>
    <row r="202" spans="1:9" x14ac:dyDescent="0.35">
      <c r="A202" s="1">
        <v>43755</v>
      </c>
      <c r="B202">
        <v>190.300003</v>
      </c>
      <c r="C202">
        <v>190.83999600000001</v>
      </c>
      <c r="D202">
        <v>188.770004</v>
      </c>
      <c r="E202">
        <v>190.38999899999999</v>
      </c>
      <c r="F202">
        <v>190.38999899999999</v>
      </c>
      <c r="G202">
        <v>9603000</v>
      </c>
      <c r="H202" s="2">
        <f t="shared" si="3"/>
        <v>4.4315272313659726E-3</v>
      </c>
      <c r="I202" s="2">
        <f>VLOOKUP(A202,AAPL!A:H,8,)</f>
        <v>3.8827666319540821E-3</v>
      </c>
    </row>
    <row r="203" spans="1:9" x14ac:dyDescent="0.35">
      <c r="A203" s="1">
        <v>43756</v>
      </c>
      <c r="B203">
        <v>190.229996</v>
      </c>
      <c r="C203">
        <v>191.490005</v>
      </c>
      <c r="D203">
        <v>183.91999799999999</v>
      </c>
      <c r="E203">
        <v>185.85000600000001</v>
      </c>
      <c r="F203">
        <v>185.85000600000001</v>
      </c>
      <c r="G203">
        <v>16874200</v>
      </c>
      <c r="H203" s="2">
        <f t="shared" si="3"/>
        <v>-2.3845753578684459E-2</v>
      </c>
      <c r="I203" s="2">
        <f>VLOOKUP(A203,AAPL!A:H,8,)</f>
        <v>4.8028051683099982E-3</v>
      </c>
    </row>
    <row r="204" spans="1:9" x14ac:dyDescent="0.35">
      <c r="A204" s="1">
        <v>43759</v>
      </c>
      <c r="B204">
        <v>187.03999300000001</v>
      </c>
      <c r="C204">
        <v>189.91000399999999</v>
      </c>
      <c r="D204">
        <v>186.75</v>
      </c>
      <c r="E204">
        <v>189.759995</v>
      </c>
      <c r="F204">
        <v>189.759995</v>
      </c>
      <c r="G204">
        <v>8122600</v>
      </c>
      <c r="H204" s="2">
        <f t="shared" si="3"/>
        <v>2.1038412019206421E-2</v>
      </c>
      <c r="I204" s="2">
        <f>VLOOKUP(A204,AAPL!A:H,8,)</f>
        <v>1.7342717865695745E-2</v>
      </c>
    </row>
    <row r="205" spans="1:9" x14ac:dyDescent="0.35">
      <c r="A205" s="1">
        <v>43760</v>
      </c>
      <c r="B205">
        <v>190</v>
      </c>
      <c r="C205">
        <v>190.64999399999999</v>
      </c>
      <c r="D205">
        <v>181.5</v>
      </c>
      <c r="E205">
        <v>182.33999600000001</v>
      </c>
      <c r="F205">
        <v>182.33999600000001</v>
      </c>
      <c r="G205">
        <v>19537600</v>
      </c>
      <c r="H205" s="2">
        <f t="shared" si="3"/>
        <v>-3.9102019369256391E-2</v>
      </c>
      <c r="I205" s="2">
        <f>VLOOKUP(A205,AAPL!A:H,8,)</f>
        <v>-2.2867573454202761E-3</v>
      </c>
    </row>
    <row r="206" spans="1:9" x14ac:dyDescent="0.35">
      <c r="A206" s="1">
        <v>43761</v>
      </c>
      <c r="B206">
        <v>182.009995</v>
      </c>
      <c r="C206">
        <v>186.38000500000001</v>
      </c>
      <c r="D206">
        <v>182</v>
      </c>
      <c r="E206">
        <v>186.14999399999999</v>
      </c>
      <c r="F206">
        <v>186.14999399999999</v>
      </c>
      <c r="G206">
        <v>12300400</v>
      </c>
      <c r="H206" s="2">
        <f t="shared" si="3"/>
        <v>2.0895020750137494E-2</v>
      </c>
      <c r="I206" s="2">
        <f>VLOOKUP(A206,AAPL!A:H,8,)</f>
        <v>1.3418836025376413E-2</v>
      </c>
    </row>
    <row r="207" spans="1:9" x14ac:dyDescent="0.35">
      <c r="A207" s="1">
        <v>43762</v>
      </c>
      <c r="B207">
        <v>184.61999499999999</v>
      </c>
      <c r="C207">
        <v>186.729996</v>
      </c>
      <c r="D207">
        <v>182.800003</v>
      </c>
      <c r="E207">
        <v>186.38000500000001</v>
      </c>
      <c r="F207">
        <v>186.38000500000001</v>
      </c>
      <c r="G207">
        <v>11413500</v>
      </c>
      <c r="H207" s="2">
        <f t="shared" si="3"/>
        <v>1.235621850194768E-3</v>
      </c>
      <c r="I207" s="2">
        <f>VLOOKUP(A207,AAPL!A:H,8,)</f>
        <v>1.6449050627487249E-3</v>
      </c>
    </row>
    <row r="208" spans="1:9" x14ac:dyDescent="0.35">
      <c r="A208" s="1">
        <v>43763</v>
      </c>
      <c r="B208">
        <v>185.83000200000001</v>
      </c>
      <c r="C208">
        <v>189</v>
      </c>
      <c r="D208">
        <v>185.08999600000001</v>
      </c>
      <c r="E208">
        <v>187.88999899999999</v>
      </c>
      <c r="F208">
        <v>187.88999899999999</v>
      </c>
      <c r="G208">
        <v>8061200</v>
      </c>
      <c r="H208" s="2">
        <f t="shared" si="3"/>
        <v>8.1016952435428724E-3</v>
      </c>
      <c r="I208" s="2">
        <f>VLOOKUP(A208,AAPL!A:H,8,)</f>
        <v>1.2316282124969158E-2</v>
      </c>
    </row>
    <row r="209" spans="1:9" x14ac:dyDescent="0.35">
      <c r="A209" s="1">
        <v>43766</v>
      </c>
      <c r="B209">
        <v>187.199997</v>
      </c>
      <c r="C209">
        <v>189.529999</v>
      </c>
      <c r="D209">
        <v>185.08000200000001</v>
      </c>
      <c r="E209">
        <v>189.39999399999999</v>
      </c>
      <c r="F209">
        <v>189.39999399999999</v>
      </c>
      <c r="G209">
        <v>13657900</v>
      </c>
      <c r="H209" s="2">
        <f t="shared" si="3"/>
        <v>8.0365906010781973E-3</v>
      </c>
      <c r="I209" s="2">
        <f>VLOOKUP(A209,AAPL!A:H,8,)</f>
        <v>1.0017049233514541E-2</v>
      </c>
    </row>
    <row r="210" spans="1:9" x14ac:dyDescent="0.35">
      <c r="A210" s="1">
        <v>43767</v>
      </c>
      <c r="B210">
        <v>191.69000199999999</v>
      </c>
      <c r="C210">
        <v>192.529999</v>
      </c>
      <c r="D210">
        <v>188.470001</v>
      </c>
      <c r="E210">
        <v>189.30999800000001</v>
      </c>
      <c r="F210">
        <v>189.30999800000001</v>
      </c>
      <c r="G210">
        <v>13574900</v>
      </c>
      <c r="H210" s="2">
        <f t="shared" si="3"/>
        <v>-4.7516368981503909E-4</v>
      </c>
      <c r="I210" s="2">
        <f>VLOOKUP(A210,AAPL!A:H,8,)</f>
        <v>-2.3127933778310572E-2</v>
      </c>
    </row>
    <row r="211" spans="1:9" x14ac:dyDescent="0.35">
      <c r="A211" s="1">
        <v>43768</v>
      </c>
      <c r="B211">
        <v>189.55999800000001</v>
      </c>
      <c r="C211">
        <v>190.449997</v>
      </c>
      <c r="D211">
        <v>185.979996</v>
      </c>
      <c r="E211">
        <v>188.25</v>
      </c>
      <c r="F211">
        <v>188.25</v>
      </c>
      <c r="G211">
        <v>28734600</v>
      </c>
      <c r="H211" s="2">
        <f t="shared" si="3"/>
        <v>-5.5992710960781622E-3</v>
      </c>
      <c r="I211" s="2">
        <f>VLOOKUP(A211,AAPL!A:H,8,)</f>
        <v>-1.2329319325232735E-4</v>
      </c>
    </row>
    <row r="212" spans="1:9" x14ac:dyDescent="0.35">
      <c r="A212" s="1">
        <v>43769</v>
      </c>
      <c r="B212">
        <v>196.699997</v>
      </c>
      <c r="C212">
        <v>198.08999600000001</v>
      </c>
      <c r="D212">
        <v>188.25</v>
      </c>
      <c r="E212">
        <v>191.64999399999999</v>
      </c>
      <c r="F212">
        <v>191.64999399999999</v>
      </c>
      <c r="G212">
        <v>42286500</v>
      </c>
      <c r="H212" s="2">
        <f t="shared" si="3"/>
        <v>1.8061057104913569E-2</v>
      </c>
      <c r="I212" s="2">
        <f>VLOOKUP(A212,AAPL!A:H,8,)</f>
        <v>2.2609553935863724E-2</v>
      </c>
    </row>
    <row r="213" spans="1:9" x14ac:dyDescent="0.35">
      <c r="A213" s="1">
        <v>43770</v>
      </c>
      <c r="B213">
        <v>192.85000600000001</v>
      </c>
      <c r="C213">
        <v>194.11000100000001</v>
      </c>
      <c r="D213">
        <v>189.91000399999999</v>
      </c>
      <c r="E213">
        <v>193.61999499999999</v>
      </c>
      <c r="F213">
        <v>193.61999499999999</v>
      </c>
      <c r="G213">
        <v>21711800</v>
      </c>
      <c r="H213" s="2">
        <f t="shared" si="3"/>
        <v>1.0279160248760633E-2</v>
      </c>
      <c r="I213" s="2">
        <f>VLOOKUP(A213,AAPL!A:H,8,)</f>
        <v>2.8380817307940509E-2</v>
      </c>
    </row>
    <row r="214" spans="1:9" x14ac:dyDescent="0.35">
      <c r="A214" s="1">
        <v>43773</v>
      </c>
      <c r="B214">
        <v>194.550003</v>
      </c>
      <c r="C214">
        <v>197.36999499999999</v>
      </c>
      <c r="D214">
        <v>193.80999800000001</v>
      </c>
      <c r="E214">
        <v>194.720001</v>
      </c>
      <c r="F214">
        <v>194.720001</v>
      </c>
      <c r="G214">
        <v>16371300</v>
      </c>
      <c r="H214" s="2">
        <f t="shared" si="3"/>
        <v>5.6812624130064826E-3</v>
      </c>
      <c r="I214" s="2">
        <f>VLOOKUP(A214,AAPL!A:H,8,)</f>
        <v>6.5670860271414E-3</v>
      </c>
    </row>
    <row r="215" spans="1:9" x14ac:dyDescent="0.35">
      <c r="A215" s="1">
        <v>43774</v>
      </c>
      <c r="B215">
        <v>195.36999499999999</v>
      </c>
      <c r="C215">
        <v>195.75</v>
      </c>
      <c r="D215">
        <v>193.60000600000001</v>
      </c>
      <c r="E215">
        <v>194.320007</v>
      </c>
      <c r="F215">
        <v>194.320007</v>
      </c>
      <c r="G215">
        <v>9942000</v>
      </c>
      <c r="H215" s="2">
        <f t="shared" si="3"/>
        <v>-2.0542008933124301E-3</v>
      </c>
      <c r="I215" s="2">
        <f>VLOOKUP(A215,AAPL!A:H,8,)</f>
        <v>-1.4368776699029695E-3</v>
      </c>
    </row>
    <row r="216" spans="1:9" x14ac:dyDescent="0.35">
      <c r="A216" s="1">
        <v>43775</v>
      </c>
      <c r="B216">
        <v>194.029999</v>
      </c>
      <c r="C216">
        <v>194.36999499999999</v>
      </c>
      <c r="D216">
        <v>191.35000600000001</v>
      </c>
      <c r="E216">
        <v>191.550003</v>
      </c>
      <c r="F216">
        <v>191.550003</v>
      </c>
      <c r="G216">
        <v>10973000</v>
      </c>
      <c r="H216" s="2">
        <f t="shared" si="3"/>
        <v>-1.425485745273769E-2</v>
      </c>
      <c r="I216" s="2">
        <f>VLOOKUP(A216,AAPL!A:H,8,)</f>
        <v>4.2775249208171218E-4</v>
      </c>
    </row>
    <row r="217" spans="1:9" x14ac:dyDescent="0.35">
      <c r="A217" s="1">
        <v>43776</v>
      </c>
      <c r="B217">
        <v>191.91000399999999</v>
      </c>
      <c r="C217">
        <v>193.44000199999999</v>
      </c>
      <c r="D217">
        <v>189.470001</v>
      </c>
      <c r="E217">
        <v>190.41999799999999</v>
      </c>
      <c r="F217">
        <v>190.41999799999999</v>
      </c>
      <c r="G217">
        <v>13473000</v>
      </c>
      <c r="H217" s="2">
        <f t="shared" si="3"/>
        <v>-5.8992690279415783E-3</v>
      </c>
      <c r="I217" s="2">
        <f>VLOOKUP(A217,AAPL!A:H,8,)</f>
        <v>8.5134507390283165E-3</v>
      </c>
    </row>
    <row r="218" spans="1:9" x14ac:dyDescent="0.35">
      <c r="A218" s="1">
        <v>43777</v>
      </c>
      <c r="B218">
        <v>190</v>
      </c>
      <c r="C218">
        <v>192.33999600000001</v>
      </c>
      <c r="D218">
        <v>189.699997</v>
      </c>
      <c r="E218">
        <v>190.83999600000001</v>
      </c>
      <c r="F218">
        <v>190.83999600000001</v>
      </c>
      <c r="G218">
        <v>10760800</v>
      </c>
      <c r="H218" s="2">
        <f t="shared" si="3"/>
        <v>2.2056401870145237E-3</v>
      </c>
      <c r="I218" s="2">
        <f>VLOOKUP(A218,AAPL!A:H,8,)</f>
        <v>2.7368616655547573E-3</v>
      </c>
    </row>
    <row r="219" spans="1:9" x14ac:dyDescent="0.35">
      <c r="A219" s="1">
        <v>43780</v>
      </c>
      <c r="B219">
        <v>189.929993</v>
      </c>
      <c r="C219">
        <v>190.08000200000001</v>
      </c>
      <c r="D219">
        <v>188.53999300000001</v>
      </c>
      <c r="E219">
        <v>189.61000100000001</v>
      </c>
      <c r="F219">
        <v>189.61000100000001</v>
      </c>
      <c r="G219">
        <v>8631200</v>
      </c>
      <c r="H219" s="2">
        <f t="shared" si="3"/>
        <v>-6.4451636228288756E-3</v>
      </c>
      <c r="I219" s="2">
        <f>VLOOKUP(A219,AAPL!A:H,8,)</f>
        <v>7.9187970834906363E-3</v>
      </c>
    </row>
    <row r="220" spans="1:9" x14ac:dyDescent="0.35">
      <c r="A220" s="1">
        <v>43781</v>
      </c>
      <c r="B220">
        <v>190</v>
      </c>
      <c r="C220">
        <v>195.05999800000001</v>
      </c>
      <c r="D220">
        <v>189.740005</v>
      </c>
      <c r="E220">
        <v>194.470001</v>
      </c>
      <c r="F220">
        <v>194.470001</v>
      </c>
      <c r="G220">
        <v>17615500</v>
      </c>
      <c r="H220" s="2">
        <f t="shared" si="3"/>
        <v>2.5631559381722679E-2</v>
      </c>
      <c r="I220" s="2">
        <f>VLOOKUP(A220,AAPL!A:H,8,)</f>
        <v>-9.1540804353595906E-4</v>
      </c>
    </row>
    <row r="221" spans="1:9" x14ac:dyDescent="0.35">
      <c r="A221" s="1">
        <v>43782</v>
      </c>
      <c r="B221">
        <v>194.699997</v>
      </c>
      <c r="C221">
        <v>195.699997</v>
      </c>
      <c r="D221">
        <v>192.740005</v>
      </c>
      <c r="E221">
        <v>193.19000199999999</v>
      </c>
      <c r="F221">
        <v>193.19000199999999</v>
      </c>
      <c r="G221">
        <v>10860700</v>
      </c>
      <c r="H221" s="2">
        <f t="shared" si="3"/>
        <v>-6.5819869050136592E-3</v>
      </c>
      <c r="I221" s="2">
        <f>VLOOKUP(A221,AAPL!A:H,8,)</f>
        <v>9.5816463454465595E-3</v>
      </c>
    </row>
    <row r="222" spans="1:9" x14ac:dyDescent="0.35">
      <c r="A222" s="1">
        <v>43783</v>
      </c>
      <c r="B222">
        <v>192.929993</v>
      </c>
      <c r="C222">
        <v>194.029999</v>
      </c>
      <c r="D222">
        <v>191.449997</v>
      </c>
      <c r="E222">
        <v>193.14999399999999</v>
      </c>
      <c r="F222">
        <v>193.14999399999999</v>
      </c>
      <c r="G222">
        <v>9040500</v>
      </c>
      <c r="H222" s="2">
        <f t="shared" si="3"/>
        <v>-2.0709146221764563E-4</v>
      </c>
      <c r="I222" s="2">
        <f>VLOOKUP(A222,AAPL!A:H,8,)</f>
        <v>-6.9194388777555904E-3</v>
      </c>
    </row>
    <row r="223" spans="1:9" x14ac:dyDescent="0.35">
      <c r="A223" s="1">
        <v>43784</v>
      </c>
      <c r="B223">
        <v>194.259995</v>
      </c>
      <c r="C223">
        <v>195.300003</v>
      </c>
      <c r="D223">
        <v>193.38000500000001</v>
      </c>
      <c r="E223">
        <v>195.10000600000001</v>
      </c>
      <c r="F223">
        <v>195.10000600000001</v>
      </c>
      <c r="G223">
        <v>11524300</v>
      </c>
      <c r="H223" s="2">
        <f t="shared" si="3"/>
        <v>1.0095842922987597E-2</v>
      </c>
      <c r="I223" s="2">
        <f>VLOOKUP(A223,AAPL!A:H,8,)</f>
        <v>1.1879347433484844E-2</v>
      </c>
    </row>
    <row r="224" spans="1:9" x14ac:dyDescent="0.35">
      <c r="A224" s="1">
        <v>43787</v>
      </c>
      <c r="B224">
        <v>194.55999800000001</v>
      </c>
      <c r="C224">
        <v>198.63000500000001</v>
      </c>
      <c r="D224">
        <v>193.050003</v>
      </c>
      <c r="E224">
        <v>197.39999399999999</v>
      </c>
      <c r="F224">
        <v>197.39999399999999</v>
      </c>
      <c r="G224">
        <v>16167200</v>
      </c>
      <c r="H224" s="2">
        <f t="shared" si="3"/>
        <v>1.1788764373487526E-2</v>
      </c>
      <c r="I224" s="2">
        <f>VLOOKUP(A224,AAPL!A:H,8,)</f>
        <v>5.0421431353959711E-3</v>
      </c>
    </row>
    <row r="225" spans="1:9" x14ac:dyDescent="0.35">
      <c r="A225" s="1">
        <v>43788</v>
      </c>
      <c r="B225">
        <v>197.39999399999999</v>
      </c>
      <c r="C225">
        <v>200</v>
      </c>
      <c r="D225">
        <v>196.86000100000001</v>
      </c>
      <c r="E225">
        <v>199.320007</v>
      </c>
      <c r="F225">
        <v>199.320007</v>
      </c>
      <c r="G225">
        <v>19056800</v>
      </c>
      <c r="H225" s="2">
        <f t="shared" si="3"/>
        <v>9.7265099207652916E-3</v>
      </c>
      <c r="I225" s="2">
        <f>VLOOKUP(A225,AAPL!A:H,8,)</f>
        <v>-3.0325719795560868E-3</v>
      </c>
    </row>
    <row r="226" spans="1:9" x14ac:dyDescent="0.35">
      <c r="A226" s="1">
        <v>43789</v>
      </c>
      <c r="B226">
        <v>198.58000200000001</v>
      </c>
      <c r="C226">
        <v>199.58999600000001</v>
      </c>
      <c r="D226">
        <v>195.429993</v>
      </c>
      <c r="E226">
        <v>197.509995</v>
      </c>
      <c r="F226">
        <v>197.509995</v>
      </c>
      <c r="G226">
        <v>12355400</v>
      </c>
      <c r="H226" s="2">
        <f t="shared" si="3"/>
        <v>-9.0809348606936124E-3</v>
      </c>
      <c r="I226" s="2">
        <f>VLOOKUP(A226,AAPL!A:H,8,)</f>
        <v>-1.1641458210478572E-2</v>
      </c>
    </row>
    <row r="227" spans="1:9" x14ac:dyDescent="0.35">
      <c r="A227" s="1">
        <v>43790</v>
      </c>
      <c r="B227">
        <v>197.41999799999999</v>
      </c>
      <c r="C227">
        <v>199.08999600000001</v>
      </c>
      <c r="D227">
        <v>196.86000100000001</v>
      </c>
      <c r="E227">
        <v>197.929993</v>
      </c>
      <c r="F227">
        <v>197.929993</v>
      </c>
      <c r="G227">
        <v>12131000</v>
      </c>
      <c r="H227" s="2">
        <f t="shared" si="3"/>
        <v>2.1264645366427803E-3</v>
      </c>
      <c r="I227" s="2">
        <f>VLOOKUP(A227,AAPL!A:H,8,)</f>
        <v>-4.4834377524457514E-3</v>
      </c>
    </row>
    <row r="228" spans="1:9" x14ac:dyDescent="0.35">
      <c r="A228" s="1">
        <v>43791</v>
      </c>
      <c r="B228">
        <v>198.38000500000001</v>
      </c>
      <c r="C228">
        <v>199.300003</v>
      </c>
      <c r="D228">
        <v>197.61999499999999</v>
      </c>
      <c r="E228">
        <v>198.820007</v>
      </c>
      <c r="F228">
        <v>198.820007</v>
      </c>
      <c r="G228">
        <v>9959800</v>
      </c>
      <c r="H228" s="2">
        <f t="shared" si="3"/>
        <v>4.4966100716226087E-3</v>
      </c>
      <c r="I228" s="2">
        <f>VLOOKUP(A228,AAPL!A:H,8,)</f>
        <v>-8.7785959687480819E-4</v>
      </c>
    </row>
    <row r="229" spans="1:9" x14ac:dyDescent="0.35">
      <c r="A229" s="1">
        <v>43794</v>
      </c>
      <c r="B229">
        <v>199.520004</v>
      </c>
      <c r="C229">
        <v>200.970001</v>
      </c>
      <c r="D229">
        <v>199.25</v>
      </c>
      <c r="E229">
        <v>199.78999300000001</v>
      </c>
      <c r="F229">
        <v>199.78999300000001</v>
      </c>
      <c r="G229">
        <v>15272300</v>
      </c>
      <c r="H229" s="2">
        <f t="shared" si="3"/>
        <v>4.8787142432804576E-3</v>
      </c>
      <c r="I229" s="2">
        <f>VLOOKUP(A229,AAPL!A:H,8,)</f>
        <v>1.7533791733516768E-2</v>
      </c>
    </row>
    <row r="230" spans="1:9" x14ac:dyDescent="0.35">
      <c r="A230" s="1">
        <v>43795</v>
      </c>
      <c r="B230">
        <v>200</v>
      </c>
      <c r="C230">
        <v>200.14999399999999</v>
      </c>
      <c r="D230">
        <v>198.03999300000001</v>
      </c>
      <c r="E230">
        <v>198.970001</v>
      </c>
      <c r="F230">
        <v>198.970001</v>
      </c>
      <c r="G230">
        <v>11735500</v>
      </c>
      <c r="H230" s="2">
        <f t="shared" si="3"/>
        <v>-4.104269626757584E-3</v>
      </c>
      <c r="I230" s="2">
        <f>VLOOKUP(A230,AAPL!A:H,8,)</f>
        <v>-7.8086422316123727E-3</v>
      </c>
    </row>
    <row r="231" spans="1:9" x14ac:dyDescent="0.35">
      <c r="A231" s="1">
        <v>43796</v>
      </c>
      <c r="B231">
        <v>199.89999399999999</v>
      </c>
      <c r="C231">
        <v>203.13999899999999</v>
      </c>
      <c r="D231">
        <v>199.41999799999999</v>
      </c>
      <c r="E231">
        <v>202</v>
      </c>
      <c r="F231">
        <v>202</v>
      </c>
      <c r="G231">
        <v>12736600</v>
      </c>
      <c r="H231" s="2">
        <f t="shared" si="3"/>
        <v>1.5228421293519645E-2</v>
      </c>
      <c r="I231" s="2">
        <f>VLOOKUP(A231,AAPL!A:H,8,)</f>
        <v>1.3432168801478017E-2</v>
      </c>
    </row>
    <row r="232" spans="1:9" x14ac:dyDescent="0.35">
      <c r="A232" s="1">
        <v>43798</v>
      </c>
      <c r="B232">
        <v>201.60000600000001</v>
      </c>
      <c r="C232">
        <v>203.800003</v>
      </c>
      <c r="D232">
        <v>201.21000699999999</v>
      </c>
      <c r="E232">
        <v>201.63999899999999</v>
      </c>
      <c r="F232">
        <v>201.63999899999999</v>
      </c>
      <c r="G232">
        <v>7985200</v>
      </c>
      <c r="H232" s="2">
        <f t="shared" si="3"/>
        <v>-1.7821831683169087E-3</v>
      </c>
      <c r="I232" s="2">
        <f>VLOOKUP(A232,AAPL!A:H,8,)</f>
        <v>-2.2027927449640439E-3</v>
      </c>
    </row>
    <row r="233" spans="1:9" x14ac:dyDescent="0.35">
      <c r="A233" s="1">
        <v>43801</v>
      </c>
      <c r="B233">
        <v>202.13000500000001</v>
      </c>
      <c r="C233">
        <v>202.179993</v>
      </c>
      <c r="D233">
        <v>198.050003</v>
      </c>
      <c r="E233">
        <v>199.699997</v>
      </c>
      <c r="F233">
        <v>199.699997</v>
      </c>
      <c r="G233">
        <v>11503400</v>
      </c>
      <c r="H233" s="2">
        <f t="shared" si="3"/>
        <v>-9.6211168896107591E-3</v>
      </c>
      <c r="I233" s="2">
        <f>VLOOKUP(A233,AAPL!A:H,8,)</f>
        <v>-1.1562192703461149E-2</v>
      </c>
    </row>
    <row r="234" spans="1:9" x14ac:dyDescent="0.35">
      <c r="A234" s="1">
        <v>43802</v>
      </c>
      <c r="B234">
        <v>197.60000600000001</v>
      </c>
      <c r="C234">
        <v>198.929993</v>
      </c>
      <c r="D234">
        <v>195.08000200000001</v>
      </c>
      <c r="E234">
        <v>198.820007</v>
      </c>
      <c r="F234">
        <v>198.820007</v>
      </c>
      <c r="G234">
        <v>11595300</v>
      </c>
      <c r="H234" s="2">
        <f t="shared" si="3"/>
        <v>-4.4065599059572857E-3</v>
      </c>
      <c r="I234" s="2">
        <f>VLOOKUP(A234,AAPL!A:H,8,)</f>
        <v>-1.7830072413233311E-2</v>
      </c>
    </row>
    <row r="235" spans="1:9" x14ac:dyDescent="0.35">
      <c r="A235" s="1">
        <v>43803</v>
      </c>
      <c r="B235">
        <v>200</v>
      </c>
      <c r="C235">
        <v>200.029999</v>
      </c>
      <c r="D235">
        <v>198.050003</v>
      </c>
      <c r="E235">
        <v>198.71000699999999</v>
      </c>
      <c r="F235">
        <v>198.71000699999999</v>
      </c>
      <c r="G235">
        <v>8456300</v>
      </c>
      <c r="H235" s="2">
        <f t="shared" si="3"/>
        <v>-5.5326423964974225E-4</v>
      </c>
      <c r="I235" s="2">
        <f>VLOOKUP(A235,AAPL!A:H,8,)</f>
        <v>8.8262859667933569E-3</v>
      </c>
    </row>
    <row r="236" spans="1:9" x14ac:dyDescent="0.35">
      <c r="A236" s="1">
        <v>43804</v>
      </c>
      <c r="B236">
        <v>199.86000100000001</v>
      </c>
      <c r="C236">
        <v>201.28999300000001</v>
      </c>
      <c r="D236">
        <v>198.21000699999999</v>
      </c>
      <c r="E236">
        <v>199.36000100000001</v>
      </c>
      <c r="F236">
        <v>199.36000100000001</v>
      </c>
      <c r="G236">
        <v>9740400</v>
      </c>
      <c r="H236" s="2">
        <f t="shared" si="3"/>
        <v>3.2710682758922971E-3</v>
      </c>
      <c r="I236" s="2">
        <f>VLOOKUP(A236,AAPL!A:H,8,)</f>
        <v>1.4671032770567471E-2</v>
      </c>
    </row>
    <row r="237" spans="1:9" x14ac:dyDescent="0.35">
      <c r="A237" s="1">
        <v>43805</v>
      </c>
      <c r="B237">
        <v>200.5</v>
      </c>
      <c r="C237">
        <v>201.570007</v>
      </c>
      <c r="D237">
        <v>200.05999800000001</v>
      </c>
      <c r="E237">
        <v>201.050003</v>
      </c>
      <c r="F237">
        <v>201.050003</v>
      </c>
      <c r="G237">
        <v>12270600</v>
      </c>
      <c r="H237" s="2">
        <f t="shared" si="3"/>
        <v>8.4771367953593302E-3</v>
      </c>
      <c r="I237" s="2">
        <f>VLOOKUP(A237,AAPL!A:H,8,)</f>
        <v>1.931622950446088E-2</v>
      </c>
    </row>
    <row r="238" spans="1:9" x14ac:dyDescent="0.35">
      <c r="A238" s="1">
        <v>43808</v>
      </c>
      <c r="B238">
        <v>200.64999399999999</v>
      </c>
      <c r="C238">
        <v>203.13999899999999</v>
      </c>
      <c r="D238">
        <v>200.21000699999999</v>
      </c>
      <c r="E238">
        <v>201.33999600000001</v>
      </c>
      <c r="F238">
        <v>201.33999600000001</v>
      </c>
      <c r="G238">
        <v>11954800</v>
      </c>
      <c r="H238" s="2">
        <f t="shared" si="3"/>
        <v>1.4423924181687919E-3</v>
      </c>
      <c r="I238" s="2">
        <f>VLOOKUP(A238,AAPL!A:H,8,)</f>
        <v>-1.4000148173326399E-2</v>
      </c>
    </row>
    <row r="239" spans="1:9" x14ac:dyDescent="0.35">
      <c r="A239" s="1">
        <v>43809</v>
      </c>
      <c r="B239">
        <v>201.66000399999999</v>
      </c>
      <c r="C239">
        <v>202.050003</v>
      </c>
      <c r="D239">
        <v>200.14999399999999</v>
      </c>
      <c r="E239">
        <v>200.86999499999999</v>
      </c>
      <c r="F239">
        <v>200.86999499999999</v>
      </c>
      <c r="G239">
        <v>9475700</v>
      </c>
      <c r="H239" s="2">
        <f t="shared" si="3"/>
        <v>-2.3343648025105912E-3</v>
      </c>
      <c r="I239" s="2">
        <f>VLOOKUP(A239,AAPL!A:H,8,)</f>
        <v>5.8444475118635264E-3</v>
      </c>
    </row>
    <row r="240" spans="1:9" x14ac:dyDescent="0.35">
      <c r="A240" s="1">
        <v>43810</v>
      </c>
      <c r="B240">
        <v>200.279999</v>
      </c>
      <c r="C240">
        <v>202.63000500000001</v>
      </c>
      <c r="D240">
        <v>200.279999</v>
      </c>
      <c r="E240">
        <v>202.259995</v>
      </c>
      <c r="F240">
        <v>202.259995</v>
      </c>
      <c r="G240">
        <v>8036800</v>
      </c>
      <c r="H240" s="2">
        <f t="shared" si="3"/>
        <v>6.9198986140264207E-3</v>
      </c>
      <c r="I240" s="2">
        <f>VLOOKUP(A240,AAPL!A:H,8,)</f>
        <v>8.5294096306880451E-3</v>
      </c>
    </row>
    <row r="241" spans="1:9" x14ac:dyDescent="0.35">
      <c r="A241" s="1">
        <v>43811</v>
      </c>
      <c r="B241">
        <v>202.35000600000001</v>
      </c>
      <c r="C241">
        <v>203.66000399999999</v>
      </c>
      <c r="D241">
        <v>194.10000600000001</v>
      </c>
      <c r="E241">
        <v>196.75</v>
      </c>
      <c r="F241">
        <v>196.75</v>
      </c>
      <c r="G241">
        <v>23734800</v>
      </c>
      <c r="H241" s="2">
        <f t="shared" si="3"/>
        <v>-2.7242139504650931E-2</v>
      </c>
      <c r="I241" s="2">
        <f>VLOOKUP(A241,AAPL!A:H,8,)</f>
        <v>2.5483031007114132E-3</v>
      </c>
    </row>
    <row r="242" spans="1:9" x14ac:dyDescent="0.35">
      <c r="A242" s="1">
        <v>43812</v>
      </c>
      <c r="B242">
        <v>196.39999399999999</v>
      </c>
      <c r="C242">
        <v>196.800003</v>
      </c>
      <c r="D242">
        <v>193.16999799999999</v>
      </c>
      <c r="E242">
        <v>194.11000100000001</v>
      </c>
      <c r="F242">
        <v>194.11000100000001</v>
      </c>
      <c r="G242">
        <v>18798000</v>
      </c>
      <c r="H242" s="2">
        <f t="shared" si="3"/>
        <v>-1.3418038119440867E-2</v>
      </c>
      <c r="I242" s="2">
        <f>VLOOKUP(A242,AAPL!A:H,8,)</f>
        <v>1.3593163297521915E-2</v>
      </c>
    </row>
    <row r="243" spans="1:9" x14ac:dyDescent="0.35">
      <c r="A243" s="1">
        <v>43815</v>
      </c>
      <c r="B243">
        <v>195.270004</v>
      </c>
      <c r="C243">
        <v>199.11999499999999</v>
      </c>
      <c r="D243">
        <v>194.80999800000001</v>
      </c>
      <c r="E243">
        <v>197.91999799999999</v>
      </c>
      <c r="F243">
        <v>197.91999799999999</v>
      </c>
      <c r="G243">
        <v>14911500</v>
      </c>
      <c r="H243" s="2">
        <f t="shared" si="3"/>
        <v>1.9628030397052854E-2</v>
      </c>
      <c r="I243" s="2">
        <f>VLOOKUP(A243,AAPL!A:H,8,)</f>
        <v>1.7117907094105878E-2</v>
      </c>
    </row>
    <row r="244" spans="1:9" x14ac:dyDescent="0.35">
      <c r="A244" s="1">
        <v>43816</v>
      </c>
      <c r="B244">
        <v>198.83999600000001</v>
      </c>
      <c r="C244">
        <v>199</v>
      </c>
      <c r="D244">
        <v>196.13000500000001</v>
      </c>
      <c r="E244">
        <v>198.38999899999999</v>
      </c>
      <c r="F244">
        <v>198.38999899999999</v>
      </c>
      <c r="G244">
        <v>10175700</v>
      </c>
      <c r="H244" s="2">
        <f t="shared" si="3"/>
        <v>2.3747019237541078E-3</v>
      </c>
      <c r="I244" s="2">
        <f>VLOOKUP(A244,AAPL!A:H,8,)</f>
        <v>1.9653399251249315E-3</v>
      </c>
    </row>
    <row r="245" spans="1:9" x14ac:dyDescent="0.35">
      <c r="A245" s="1">
        <v>43817</v>
      </c>
      <c r="B245">
        <v>200.08999600000001</v>
      </c>
      <c r="C245">
        <v>204.300003</v>
      </c>
      <c r="D245">
        <v>200.08999600000001</v>
      </c>
      <c r="E245">
        <v>202.5</v>
      </c>
      <c r="F245">
        <v>202.5</v>
      </c>
      <c r="G245">
        <v>23274400</v>
      </c>
      <c r="H245" s="2">
        <f t="shared" si="3"/>
        <v>2.071677514348913E-2</v>
      </c>
      <c r="I245" s="2">
        <f>VLOOKUP(A245,AAPL!A:H,8,)</f>
        <v>-2.3894011998232267E-3</v>
      </c>
    </row>
    <row r="246" spans="1:9" x14ac:dyDescent="0.35">
      <c r="A246" s="1">
        <v>43818</v>
      </c>
      <c r="B246">
        <v>202.779999</v>
      </c>
      <c r="C246">
        <v>206.300003</v>
      </c>
      <c r="D246">
        <v>202.509995</v>
      </c>
      <c r="E246">
        <v>206.05999800000001</v>
      </c>
      <c r="F246">
        <v>206.05999800000001</v>
      </c>
      <c r="G246">
        <v>16514600</v>
      </c>
      <c r="H246" s="2">
        <f t="shared" si="3"/>
        <v>1.7580237037037039E-2</v>
      </c>
      <c r="I246" s="2">
        <f>VLOOKUP(A246,AAPL!A:H,8,)</f>
        <v>1.0009151641072744E-3</v>
      </c>
    </row>
    <row r="247" spans="1:9" x14ac:dyDescent="0.35">
      <c r="A247" s="1">
        <v>43819</v>
      </c>
      <c r="B247">
        <v>207.479996</v>
      </c>
      <c r="C247">
        <v>207.71000699999999</v>
      </c>
      <c r="D247">
        <v>203.429993</v>
      </c>
      <c r="E247">
        <v>206.300003</v>
      </c>
      <c r="F247">
        <v>206.300003</v>
      </c>
      <c r="G247">
        <v>27306900</v>
      </c>
      <c r="H247" s="2">
        <f t="shared" si="3"/>
        <v>1.164733584050559E-3</v>
      </c>
      <c r="I247" s="2">
        <f>VLOOKUP(A247,AAPL!A:H,8,)</f>
        <v>-2.0712235727973205E-3</v>
      </c>
    </row>
    <row r="248" spans="1:9" x14ac:dyDescent="0.35">
      <c r="A248" s="1">
        <v>43822</v>
      </c>
      <c r="B248">
        <v>206.699997</v>
      </c>
      <c r="C248">
        <v>208.58999600000001</v>
      </c>
      <c r="D248">
        <v>205.679993</v>
      </c>
      <c r="E248">
        <v>206.179993</v>
      </c>
      <c r="F248">
        <v>206.179993</v>
      </c>
      <c r="G248">
        <v>13348900</v>
      </c>
      <c r="H248" s="2">
        <f t="shared" si="3"/>
        <v>-5.8172563380920472E-4</v>
      </c>
      <c r="I248" s="2">
        <f>VLOOKUP(A248,AAPL!A:H,8,)</f>
        <v>1.631833643976055E-2</v>
      </c>
    </row>
    <row r="249" spans="1:9" x14ac:dyDescent="0.35">
      <c r="A249" s="1">
        <v>43823</v>
      </c>
      <c r="B249">
        <v>206.300003</v>
      </c>
      <c r="C249">
        <v>206.78999300000001</v>
      </c>
      <c r="D249">
        <v>205</v>
      </c>
      <c r="E249">
        <v>205.11999499999999</v>
      </c>
      <c r="F249">
        <v>205.11999499999999</v>
      </c>
      <c r="G249">
        <v>6046300</v>
      </c>
      <c r="H249" s="2">
        <f t="shared" si="3"/>
        <v>-5.1411292850320756E-3</v>
      </c>
      <c r="I249" s="2">
        <f>VLOOKUP(A249,AAPL!A:H,8,)</f>
        <v>9.5066197183113488E-4</v>
      </c>
    </row>
    <row r="250" spans="1:9" x14ac:dyDescent="0.35">
      <c r="A250" s="1">
        <v>43825</v>
      </c>
      <c r="B250">
        <v>205.570007</v>
      </c>
      <c r="C250">
        <v>207.820007</v>
      </c>
      <c r="D250">
        <v>205.30999800000001</v>
      </c>
      <c r="E250">
        <v>207.78999300000001</v>
      </c>
      <c r="F250">
        <v>207.78999300000001</v>
      </c>
      <c r="G250">
        <v>9350700</v>
      </c>
      <c r="H250" s="2">
        <f t="shared" si="3"/>
        <v>1.301676123773321E-2</v>
      </c>
      <c r="I250" s="2">
        <f>VLOOKUP(A250,AAPL!A:H,8,)</f>
        <v>1.984034980154159E-2</v>
      </c>
    </row>
    <row r="251" spans="1:9" x14ac:dyDescent="0.35">
      <c r="A251" s="1">
        <v>43826</v>
      </c>
      <c r="B251">
        <v>208.66999799999999</v>
      </c>
      <c r="C251">
        <v>208.929993</v>
      </c>
      <c r="D251">
        <v>206.58999600000001</v>
      </c>
      <c r="E251">
        <v>208.10000600000001</v>
      </c>
      <c r="F251">
        <v>208.10000600000001</v>
      </c>
      <c r="G251">
        <v>10284200</v>
      </c>
      <c r="H251" s="2">
        <f t="shared" si="3"/>
        <v>1.4919534647657162E-3</v>
      </c>
      <c r="I251" s="2">
        <f>VLOOKUP(A251,AAPL!A:H,8,)</f>
        <v>-3.7948328268111453E-4</v>
      </c>
    </row>
    <row r="252" spans="1:9" x14ac:dyDescent="0.35">
      <c r="A252" s="1">
        <v>43829</v>
      </c>
      <c r="B252">
        <v>207.86000100000001</v>
      </c>
      <c r="C252">
        <v>207.89999399999999</v>
      </c>
      <c r="D252">
        <v>203.89999399999999</v>
      </c>
      <c r="E252">
        <v>204.41000399999999</v>
      </c>
      <c r="F252">
        <v>204.41000399999999</v>
      </c>
      <c r="G252">
        <v>10524300</v>
      </c>
      <c r="H252" s="2">
        <f t="shared" si="3"/>
        <v>-1.7731868782358551E-2</v>
      </c>
      <c r="I252" s="2">
        <f>VLOOKUP(A252,AAPL!A:H,8,)</f>
        <v>5.9351279200192675E-3</v>
      </c>
    </row>
    <row r="253" spans="1:9" x14ac:dyDescent="0.35">
      <c r="A253" s="1">
        <v>43830</v>
      </c>
      <c r="B253">
        <v>204</v>
      </c>
      <c r="C253">
        <v>205.55999800000001</v>
      </c>
      <c r="D253">
        <v>203.60000600000001</v>
      </c>
      <c r="E253">
        <v>205.25</v>
      </c>
      <c r="F253">
        <v>205.25</v>
      </c>
      <c r="G253">
        <v>8953500</v>
      </c>
      <c r="H253" s="2">
        <f t="shared" si="3"/>
        <v>4.1093683457880115E-3</v>
      </c>
      <c r="I253" s="2">
        <f>VLOOKUP(A253,AAPL!A:H,8,)</f>
        <v>7.3065453062517438E-3</v>
      </c>
    </row>
    <row r="254" spans="1:9" x14ac:dyDescent="0.35">
      <c r="A254" s="1">
        <v>43832</v>
      </c>
      <c r="B254">
        <v>206.75</v>
      </c>
      <c r="C254">
        <v>209.78999300000001</v>
      </c>
      <c r="D254">
        <v>206.270004</v>
      </c>
      <c r="E254">
        <v>209.779999</v>
      </c>
      <c r="F254">
        <v>209.779999</v>
      </c>
      <c r="G254">
        <v>12077100</v>
      </c>
      <c r="H254" s="2">
        <f t="shared" si="3"/>
        <v>2.2070640682094966E-2</v>
      </c>
      <c r="I254" s="2">
        <f>VLOOKUP(A254,AAPL!A:H,8,)</f>
        <v>2.2816332990058363E-2</v>
      </c>
    </row>
    <row r="255" spans="1:9" x14ac:dyDescent="0.35">
      <c r="A255" s="1">
        <v>43833</v>
      </c>
      <c r="B255">
        <v>207.21000699999999</v>
      </c>
      <c r="C255">
        <v>210.39999399999999</v>
      </c>
      <c r="D255">
        <v>206.949997</v>
      </c>
      <c r="E255">
        <v>208.66999799999999</v>
      </c>
      <c r="F255">
        <v>208.66999799999999</v>
      </c>
      <c r="G255">
        <v>11188400</v>
      </c>
      <c r="H255" s="2">
        <f t="shared" si="3"/>
        <v>-5.2912622999869985E-3</v>
      </c>
      <c r="I255" s="2">
        <f>VLOOKUP(A255,AAPL!A:H,8,)</f>
        <v>-9.7220440227189231E-3</v>
      </c>
    </row>
    <row r="256" spans="1:9" x14ac:dyDescent="0.35">
      <c r="A256" s="1">
        <v>43836</v>
      </c>
      <c r="B256">
        <v>206.699997</v>
      </c>
      <c r="C256">
        <v>212.779999</v>
      </c>
      <c r="D256">
        <v>206.520004</v>
      </c>
      <c r="E256">
        <v>212.60000600000001</v>
      </c>
      <c r="F256">
        <v>212.60000600000001</v>
      </c>
      <c r="G256">
        <v>17058900</v>
      </c>
      <c r="H256" s="2">
        <f t="shared" si="3"/>
        <v>1.8833603477582894E-2</v>
      </c>
      <c r="I256" s="2">
        <f>VLOOKUP(A256,AAPL!A:H,8,)</f>
        <v>7.9682482054463932E-3</v>
      </c>
    </row>
    <row r="257" spans="1:9" x14ac:dyDescent="0.35">
      <c r="A257" s="1">
        <v>43837</v>
      </c>
      <c r="B257">
        <v>212.820007</v>
      </c>
      <c r="C257">
        <v>214.58000200000001</v>
      </c>
      <c r="D257">
        <v>211.75</v>
      </c>
      <c r="E257">
        <v>213.05999800000001</v>
      </c>
      <c r="F257">
        <v>213.05999800000001</v>
      </c>
      <c r="G257">
        <v>14912400</v>
      </c>
      <c r="H257" s="2">
        <f t="shared" si="3"/>
        <v>2.1636499859740699E-3</v>
      </c>
      <c r="I257" s="2">
        <f>VLOOKUP(A257,AAPL!A:H,8,)</f>
        <v>-4.7030422162658292E-3</v>
      </c>
    </row>
    <row r="258" spans="1:9" x14ac:dyDescent="0.35">
      <c r="A258" s="1">
        <v>43838</v>
      </c>
      <c r="B258">
        <v>213</v>
      </c>
      <c r="C258">
        <v>216.240005</v>
      </c>
      <c r="D258">
        <v>212.61000100000001</v>
      </c>
      <c r="E258">
        <v>215.220001</v>
      </c>
      <c r="F258">
        <v>215.220001</v>
      </c>
      <c r="G258">
        <v>13475000</v>
      </c>
      <c r="H258" s="2">
        <f t="shared" si="3"/>
        <v>1.0138003474495338E-2</v>
      </c>
      <c r="I258" s="2">
        <f>VLOOKUP(A258,AAPL!A:H,8,)</f>
        <v>1.6086288892454004E-2</v>
      </c>
    </row>
    <row r="259" spans="1:9" x14ac:dyDescent="0.35">
      <c r="A259" s="1">
        <v>43839</v>
      </c>
      <c r="B259">
        <v>217.53999300000001</v>
      </c>
      <c r="C259">
        <v>218.38000500000001</v>
      </c>
      <c r="D259">
        <v>216.279999</v>
      </c>
      <c r="E259">
        <v>218.300003</v>
      </c>
      <c r="F259">
        <v>218.300003</v>
      </c>
      <c r="G259">
        <v>12642800</v>
      </c>
      <c r="H259" s="2">
        <f t="shared" si="3"/>
        <v>1.4310946871522345E-2</v>
      </c>
      <c r="I259" s="2">
        <f>VLOOKUP(A259,AAPL!A:H,8,)</f>
        <v>2.1240805814956909E-2</v>
      </c>
    </row>
    <row r="260" spans="1:9" x14ac:dyDescent="0.35">
      <c r="A260" s="1">
        <v>43840</v>
      </c>
      <c r="B260">
        <v>219.199997</v>
      </c>
      <c r="C260">
        <v>219.88000500000001</v>
      </c>
      <c r="D260">
        <v>217.41999799999999</v>
      </c>
      <c r="E260">
        <v>218.05999800000001</v>
      </c>
      <c r="F260">
        <v>218.05999800000001</v>
      </c>
      <c r="G260">
        <v>12119400</v>
      </c>
      <c r="H260" s="2">
        <f t="shared" ref="H260:H323" si="4">E260/E259-1</f>
        <v>-1.0994273783861974E-3</v>
      </c>
      <c r="I260" s="2">
        <f>VLOOKUP(A260,AAPL!A:H,8,)</f>
        <v>2.2607111421928394E-3</v>
      </c>
    </row>
    <row r="261" spans="1:9" x14ac:dyDescent="0.35">
      <c r="A261" s="1">
        <v>43843</v>
      </c>
      <c r="B261">
        <v>219.60000600000001</v>
      </c>
      <c r="C261">
        <v>221.970001</v>
      </c>
      <c r="D261">
        <v>219.21000699999999</v>
      </c>
      <c r="E261">
        <v>221.91000399999999</v>
      </c>
      <c r="F261">
        <v>221.91000399999999</v>
      </c>
      <c r="G261">
        <v>14463400</v>
      </c>
      <c r="H261" s="2">
        <f t="shared" si="4"/>
        <v>1.7655718771491413E-2</v>
      </c>
      <c r="I261" s="2">
        <f>VLOOKUP(A261,AAPL!A:H,8,)</f>
        <v>2.1364367790327687E-2</v>
      </c>
    </row>
    <row r="262" spans="1:9" x14ac:dyDescent="0.35">
      <c r="A262" s="1">
        <v>43844</v>
      </c>
      <c r="B262">
        <v>221.61000100000001</v>
      </c>
      <c r="C262">
        <v>222.38000500000001</v>
      </c>
      <c r="D262">
        <v>218.63000500000001</v>
      </c>
      <c r="E262">
        <v>219.05999800000001</v>
      </c>
      <c r="F262">
        <v>219.05999800000001</v>
      </c>
      <c r="G262">
        <v>13288900</v>
      </c>
      <c r="H262" s="2">
        <f t="shared" si="4"/>
        <v>-1.2843071283978658E-2</v>
      </c>
      <c r="I262" s="2">
        <f>VLOOKUP(A262,AAPL!A:H,8,)</f>
        <v>-1.3503281511945464E-2</v>
      </c>
    </row>
    <row r="263" spans="1:9" x14ac:dyDescent="0.35">
      <c r="A263" s="1">
        <v>43845</v>
      </c>
      <c r="B263">
        <v>220.61000100000001</v>
      </c>
      <c r="C263">
        <v>221.679993</v>
      </c>
      <c r="D263">
        <v>220.13999899999999</v>
      </c>
      <c r="E263">
        <v>221.14999399999999</v>
      </c>
      <c r="F263">
        <v>221.14999399999999</v>
      </c>
      <c r="G263">
        <v>10036500</v>
      </c>
      <c r="H263" s="2">
        <f t="shared" si="4"/>
        <v>9.540746914459497E-3</v>
      </c>
      <c r="I263" s="2">
        <f>VLOOKUP(A263,AAPL!A:H,8,)</f>
        <v>-4.2855188508513775E-3</v>
      </c>
    </row>
    <row r="264" spans="1:9" x14ac:dyDescent="0.35">
      <c r="A264" s="1">
        <v>43846</v>
      </c>
      <c r="B264">
        <v>222.570007</v>
      </c>
      <c r="C264">
        <v>222.63000500000001</v>
      </c>
      <c r="D264">
        <v>220.38999899999999</v>
      </c>
      <c r="E264">
        <v>221.770004</v>
      </c>
      <c r="F264">
        <v>221.770004</v>
      </c>
      <c r="G264">
        <v>10015300</v>
      </c>
      <c r="H264" s="2">
        <f t="shared" si="4"/>
        <v>2.8035723121024869E-3</v>
      </c>
      <c r="I264" s="2">
        <f>VLOOKUP(A264,AAPL!A:H,8,)</f>
        <v>1.2526485675165233E-2</v>
      </c>
    </row>
    <row r="265" spans="1:9" x14ac:dyDescent="0.35">
      <c r="A265" s="1">
        <v>43847</v>
      </c>
      <c r="B265">
        <v>222.029999</v>
      </c>
      <c r="C265">
        <v>222.28999300000001</v>
      </c>
      <c r="D265">
        <v>220.529999</v>
      </c>
      <c r="E265">
        <v>222.13999899999999</v>
      </c>
      <c r="F265">
        <v>222.13999899999999</v>
      </c>
      <c r="G265">
        <v>15905900</v>
      </c>
      <c r="H265" s="2">
        <f t="shared" si="4"/>
        <v>1.6683726082269423E-3</v>
      </c>
      <c r="I265" s="2">
        <f>VLOOKUP(A265,AAPL!A:H,8,)</f>
        <v>1.1070993809694007E-2</v>
      </c>
    </row>
    <row r="266" spans="1:9" x14ac:dyDescent="0.35">
      <c r="A266" s="1">
        <v>43851</v>
      </c>
      <c r="B266">
        <v>222.16000399999999</v>
      </c>
      <c r="C266">
        <v>222.36999499999999</v>
      </c>
      <c r="D266">
        <v>219.11999499999999</v>
      </c>
      <c r="E266">
        <v>221.44000199999999</v>
      </c>
      <c r="F266">
        <v>221.44000199999999</v>
      </c>
      <c r="G266">
        <v>14275800</v>
      </c>
      <c r="H266" s="2">
        <f t="shared" si="4"/>
        <v>-3.1511524405831715E-3</v>
      </c>
      <c r="I266" s="2">
        <f>VLOOKUP(A266,AAPL!A:H,8,)</f>
        <v>-6.7769080998874021E-3</v>
      </c>
    </row>
    <row r="267" spans="1:9" x14ac:dyDescent="0.35">
      <c r="A267" s="1">
        <v>43852</v>
      </c>
      <c r="B267">
        <v>222.30999800000001</v>
      </c>
      <c r="C267">
        <v>222.75</v>
      </c>
      <c r="D267">
        <v>221.279999</v>
      </c>
      <c r="E267">
        <v>221.320007</v>
      </c>
      <c r="F267">
        <v>221.320007</v>
      </c>
      <c r="G267">
        <v>12212800</v>
      </c>
      <c r="H267" s="2">
        <f t="shared" si="4"/>
        <v>-5.4188493007689686E-4</v>
      </c>
      <c r="I267" s="2">
        <f>VLOOKUP(A267,AAPL!A:H,8,)</f>
        <v>3.5695232379691078E-3</v>
      </c>
    </row>
    <row r="268" spans="1:9" x14ac:dyDescent="0.35">
      <c r="A268" s="1">
        <v>43853</v>
      </c>
      <c r="B268">
        <v>220.75</v>
      </c>
      <c r="C268">
        <v>221.490005</v>
      </c>
      <c r="D268">
        <v>219.270004</v>
      </c>
      <c r="E268">
        <v>219.759995</v>
      </c>
      <c r="F268">
        <v>219.759995</v>
      </c>
      <c r="G268">
        <v>11195000</v>
      </c>
      <c r="H268" s="2">
        <f t="shared" si="4"/>
        <v>-7.0486713837850656E-3</v>
      </c>
      <c r="I268" s="2">
        <f>VLOOKUP(A268,AAPL!A:H,8,)</f>
        <v>4.8158638407604926E-3</v>
      </c>
    </row>
    <row r="269" spans="1:9" x14ac:dyDescent="0.35">
      <c r="A269" s="1">
        <v>43854</v>
      </c>
      <c r="B269">
        <v>220.800003</v>
      </c>
      <c r="C269">
        <v>221.779999</v>
      </c>
      <c r="D269">
        <v>216.11000100000001</v>
      </c>
      <c r="E269">
        <v>217.94000199999999</v>
      </c>
      <c r="F269">
        <v>217.94000199999999</v>
      </c>
      <c r="G269">
        <v>11905800</v>
      </c>
      <c r="H269" s="2">
        <f t="shared" si="4"/>
        <v>-8.2817302575931562E-3</v>
      </c>
      <c r="I269" s="2">
        <f>VLOOKUP(A269,AAPL!A:H,8,)</f>
        <v>-2.8819846675317562E-3</v>
      </c>
    </row>
    <row r="270" spans="1:9" x14ac:dyDescent="0.35">
      <c r="A270" s="1">
        <v>43857</v>
      </c>
      <c r="B270">
        <v>213.10000600000001</v>
      </c>
      <c r="C270">
        <v>216.05999800000001</v>
      </c>
      <c r="D270">
        <v>212.5</v>
      </c>
      <c r="E270">
        <v>214.86999499999999</v>
      </c>
      <c r="F270">
        <v>214.86999499999999</v>
      </c>
      <c r="G270">
        <v>13810700</v>
      </c>
      <c r="H270" s="2">
        <f t="shared" si="4"/>
        <v>-1.4086477800436148E-2</v>
      </c>
      <c r="I270" s="2">
        <f>VLOOKUP(A270,AAPL!A:H,8,)</f>
        <v>-2.9405246827372666E-2</v>
      </c>
    </row>
    <row r="271" spans="1:9" x14ac:dyDescent="0.35">
      <c r="A271" s="1">
        <v>43858</v>
      </c>
      <c r="B271">
        <v>216.13999899999999</v>
      </c>
      <c r="C271">
        <v>218.740005</v>
      </c>
      <c r="D271">
        <v>213.520004</v>
      </c>
      <c r="E271">
        <v>217.78999300000001</v>
      </c>
      <c r="F271">
        <v>217.78999300000001</v>
      </c>
      <c r="G271">
        <v>13413800</v>
      </c>
      <c r="H271" s="2">
        <f t="shared" si="4"/>
        <v>1.358960333200554E-2</v>
      </c>
      <c r="I271" s="2">
        <f>VLOOKUP(A271,AAPL!A:H,8,)</f>
        <v>2.8289340218572212E-2</v>
      </c>
    </row>
    <row r="272" spans="1:9" x14ac:dyDescent="0.35">
      <c r="A272" s="1">
        <v>43859</v>
      </c>
      <c r="B272">
        <v>221.44000199999999</v>
      </c>
      <c r="C272">
        <v>224.199997</v>
      </c>
      <c r="D272">
        <v>218.449997</v>
      </c>
      <c r="E272">
        <v>223.229996</v>
      </c>
      <c r="F272">
        <v>223.229996</v>
      </c>
      <c r="G272">
        <v>33181300</v>
      </c>
      <c r="H272" s="2">
        <f t="shared" si="4"/>
        <v>2.4978204577103646E-2</v>
      </c>
      <c r="I272" s="2">
        <f>VLOOKUP(A272,AAPL!A:H,8,)</f>
        <v>2.0932329995500876E-2</v>
      </c>
    </row>
    <row r="273" spans="1:9" x14ac:dyDescent="0.35">
      <c r="A273" s="1">
        <v>43860</v>
      </c>
      <c r="B273">
        <v>206.529999</v>
      </c>
      <c r="C273">
        <v>211.429993</v>
      </c>
      <c r="D273">
        <v>204.75</v>
      </c>
      <c r="E273">
        <v>209.529999</v>
      </c>
      <c r="F273">
        <v>209.529999</v>
      </c>
      <c r="G273">
        <v>48775500</v>
      </c>
      <c r="H273" s="2">
        <f t="shared" si="4"/>
        <v>-6.1371667094416771E-2</v>
      </c>
      <c r="I273" s="2">
        <f>VLOOKUP(A273,AAPL!A:H,8,)</f>
        <v>-1.4490966448675868E-3</v>
      </c>
    </row>
    <row r="274" spans="1:9" x14ac:dyDescent="0.35">
      <c r="A274" s="1">
        <v>43861</v>
      </c>
      <c r="B274">
        <v>208.429993</v>
      </c>
      <c r="C274">
        <v>208.69000199999999</v>
      </c>
      <c r="D274">
        <v>201.05999800000001</v>
      </c>
      <c r="E274">
        <v>201.91000399999999</v>
      </c>
      <c r="F274">
        <v>201.91000399999999</v>
      </c>
      <c r="G274">
        <v>31359900</v>
      </c>
      <c r="H274" s="2">
        <f t="shared" si="4"/>
        <v>-3.6367083646098863E-2</v>
      </c>
      <c r="I274" s="2">
        <f>VLOOKUP(A274,AAPL!A:H,8,)</f>
        <v>-4.4338741400422821E-2</v>
      </c>
    </row>
    <row r="275" spans="1:9" x14ac:dyDescent="0.35">
      <c r="A275" s="1">
        <v>43864</v>
      </c>
      <c r="B275">
        <v>203.44000199999999</v>
      </c>
      <c r="C275">
        <v>205.13999899999999</v>
      </c>
      <c r="D275">
        <v>202.5</v>
      </c>
      <c r="E275">
        <v>204.19000199999999</v>
      </c>
      <c r="F275">
        <v>204.19000199999999</v>
      </c>
      <c r="G275">
        <v>15495600</v>
      </c>
      <c r="H275" s="2">
        <f t="shared" si="4"/>
        <v>1.1292149744100977E-2</v>
      </c>
      <c r="I275" s="2">
        <f>VLOOKUP(A275,AAPL!A:H,8,)</f>
        <v>-2.7462892249998649E-3</v>
      </c>
    </row>
    <row r="276" spans="1:9" x14ac:dyDescent="0.35">
      <c r="A276" s="1">
        <v>43865</v>
      </c>
      <c r="B276">
        <v>206.61999499999999</v>
      </c>
      <c r="C276">
        <v>210.60000600000001</v>
      </c>
      <c r="D276">
        <v>205.199997</v>
      </c>
      <c r="E276">
        <v>209.83000200000001</v>
      </c>
      <c r="F276">
        <v>209.83000200000001</v>
      </c>
      <c r="G276">
        <v>19628900</v>
      </c>
      <c r="H276" s="2">
        <f t="shared" si="4"/>
        <v>2.762133280159329E-2</v>
      </c>
      <c r="I276" s="2">
        <f>VLOOKUP(A276,AAPL!A:H,8,)</f>
        <v>3.3013684532965826E-2</v>
      </c>
    </row>
    <row r="277" spans="1:9" x14ac:dyDescent="0.35">
      <c r="A277" s="1">
        <v>43866</v>
      </c>
      <c r="B277">
        <v>212.509995</v>
      </c>
      <c r="C277">
        <v>212.729996</v>
      </c>
      <c r="D277">
        <v>208.71000699999999</v>
      </c>
      <c r="E277">
        <v>210.11000100000001</v>
      </c>
      <c r="F277">
        <v>210.11000100000001</v>
      </c>
      <c r="G277">
        <v>12538200</v>
      </c>
      <c r="H277" s="2">
        <f t="shared" si="4"/>
        <v>1.334408794410713E-3</v>
      </c>
      <c r="I277" s="2">
        <f>VLOOKUP(A277,AAPL!A:H,8,)</f>
        <v>8.1543168724023118E-3</v>
      </c>
    </row>
    <row r="278" spans="1:9" x14ac:dyDescent="0.35">
      <c r="A278" s="1">
        <v>43867</v>
      </c>
      <c r="B278">
        <v>210.470001</v>
      </c>
      <c r="C278">
        <v>211.19000199999999</v>
      </c>
      <c r="D278">
        <v>209.33999600000001</v>
      </c>
      <c r="E278">
        <v>210.85000600000001</v>
      </c>
      <c r="F278">
        <v>210.85000600000001</v>
      </c>
      <c r="G278">
        <v>10567500</v>
      </c>
      <c r="H278" s="2">
        <f t="shared" si="4"/>
        <v>3.5219884654609235E-3</v>
      </c>
      <c r="I278" s="2">
        <f>VLOOKUP(A278,AAPL!A:H,8,)</f>
        <v>1.1696935323181723E-2</v>
      </c>
    </row>
    <row r="279" spans="1:9" x14ac:dyDescent="0.35">
      <c r="A279" s="1">
        <v>43868</v>
      </c>
      <c r="B279">
        <v>210.300003</v>
      </c>
      <c r="C279">
        <v>212.820007</v>
      </c>
      <c r="D279">
        <v>209.929993</v>
      </c>
      <c r="E279">
        <v>212.33000200000001</v>
      </c>
      <c r="F279">
        <v>212.33000200000001</v>
      </c>
      <c r="G279">
        <v>12242500</v>
      </c>
      <c r="H279" s="2">
        <f t="shared" si="4"/>
        <v>7.0191887971775557E-3</v>
      </c>
      <c r="I279" s="2">
        <f>VLOOKUP(A279,AAPL!A:H,8,)</f>
        <v>-1.5928145282817829E-2</v>
      </c>
    </row>
    <row r="280" spans="1:9" x14ac:dyDescent="0.35">
      <c r="A280" s="1">
        <v>43871</v>
      </c>
      <c r="B280">
        <v>211.520004</v>
      </c>
      <c r="C280">
        <v>213.800003</v>
      </c>
      <c r="D280">
        <v>210.66000399999999</v>
      </c>
      <c r="E280">
        <v>213.05999800000001</v>
      </c>
      <c r="F280">
        <v>213.05999800000001</v>
      </c>
      <c r="G280">
        <v>11856400</v>
      </c>
      <c r="H280" s="2">
        <f t="shared" si="4"/>
        <v>3.4380256823056676E-3</v>
      </c>
      <c r="I280" s="2">
        <f>VLOOKUP(A280,AAPL!A:H,8,)</f>
        <v>4.7495172327594037E-3</v>
      </c>
    </row>
    <row r="281" spans="1:9" x14ac:dyDescent="0.35">
      <c r="A281" s="1">
        <v>43872</v>
      </c>
      <c r="B281">
        <v>210.19000199999999</v>
      </c>
      <c r="C281">
        <v>210.86000100000001</v>
      </c>
      <c r="D281">
        <v>206.509995</v>
      </c>
      <c r="E281">
        <v>207.19000199999999</v>
      </c>
      <c r="F281">
        <v>207.19000199999999</v>
      </c>
      <c r="G281">
        <v>25030800</v>
      </c>
      <c r="H281" s="2">
        <f t="shared" si="4"/>
        <v>-2.7550906106739048E-2</v>
      </c>
      <c r="I281" s="2">
        <f>VLOOKUP(A281,AAPL!A:H,8,)</f>
        <v>-6.0332889827381386E-3</v>
      </c>
    </row>
    <row r="282" spans="1:9" x14ac:dyDescent="0.35">
      <c r="A282" s="1">
        <v>43873</v>
      </c>
      <c r="B282">
        <v>207.85000600000001</v>
      </c>
      <c r="C282">
        <v>211.220001</v>
      </c>
      <c r="D282">
        <v>207.39999399999999</v>
      </c>
      <c r="E282">
        <v>210.759995</v>
      </c>
      <c r="F282">
        <v>210.759995</v>
      </c>
      <c r="G282">
        <v>13813700</v>
      </c>
      <c r="H282" s="2">
        <f t="shared" si="4"/>
        <v>1.7230527368786941E-2</v>
      </c>
      <c r="I282" s="2">
        <f>VLOOKUP(A282,AAPL!A:H,8,)</f>
        <v>2.374778129584354E-2</v>
      </c>
    </row>
    <row r="283" spans="1:9" x14ac:dyDescent="0.35">
      <c r="A283" s="1">
        <v>43874</v>
      </c>
      <c r="B283">
        <v>209.520004</v>
      </c>
      <c r="C283">
        <v>214.33000200000001</v>
      </c>
      <c r="D283">
        <v>209.179993</v>
      </c>
      <c r="E283">
        <v>213.13999899999999</v>
      </c>
      <c r="F283">
        <v>213.13999899999999</v>
      </c>
      <c r="G283">
        <v>15396600</v>
      </c>
      <c r="H283" s="2">
        <f t="shared" si="4"/>
        <v>1.1292484610279097E-2</v>
      </c>
      <c r="I283" s="2">
        <f>VLOOKUP(A283,AAPL!A:H,8,)</f>
        <v>-7.1210755334568665E-3</v>
      </c>
    </row>
    <row r="284" spans="1:9" x14ac:dyDescent="0.35">
      <c r="A284" s="1">
        <v>43875</v>
      </c>
      <c r="B284">
        <v>214</v>
      </c>
      <c r="C284">
        <v>214.929993</v>
      </c>
      <c r="D284">
        <v>212.64999399999999</v>
      </c>
      <c r="E284">
        <v>214.179993</v>
      </c>
      <c r="F284">
        <v>214.179993</v>
      </c>
      <c r="G284">
        <v>10741700</v>
      </c>
      <c r="H284" s="2">
        <f t="shared" si="4"/>
        <v>4.8793938485474087E-3</v>
      </c>
      <c r="I284" s="2">
        <f>VLOOKUP(A284,AAPL!A:H,8,)</f>
        <v>2.4630160059468942E-4</v>
      </c>
    </row>
    <row r="285" spans="1:9" x14ac:dyDescent="0.35">
      <c r="A285" s="1">
        <v>43879</v>
      </c>
      <c r="B285">
        <v>213.550003</v>
      </c>
      <c r="C285">
        <v>217.979996</v>
      </c>
      <c r="D285">
        <v>213.39999399999999</v>
      </c>
      <c r="E285">
        <v>217.800003</v>
      </c>
      <c r="F285">
        <v>217.800003</v>
      </c>
      <c r="G285">
        <v>15609200</v>
      </c>
      <c r="H285" s="2">
        <f t="shared" si="4"/>
        <v>1.6901718733364657E-2</v>
      </c>
      <c r="I285" s="2">
        <f>VLOOKUP(A285,AAPL!A:H,8,)</f>
        <v>-1.8310545561697089E-2</v>
      </c>
    </row>
    <row r="286" spans="1:9" x14ac:dyDescent="0.35">
      <c r="A286" s="1">
        <v>43880</v>
      </c>
      <c r="B286">
        <v>217.990005</v>
      </c>
      <c r="C286">
        <v>218.320007</v>
      </c>
      <c r="D286">
        <v>216.11000100000001</v>
      </c>
      <c r="E286">
        <v>217.490005</v>
      </c>
      <c r="F286">
        <v>217.490005</v>
      </c>
      <c r="G286">
        <v>12135100</v>
      </c>
      <c r="H286" s="2">
        <f t="shared" si="4"/>
        <v>-1.4233149482555385E-3</v>
      </c>
      <c r="I286" s="2">
        <f>VLOOKUP(A286,AAPL!A:H,8,)</f>
        <v>1.4482746081504683E-2</v>
      </c>
    </row>
    <row r="287" spans="1:9" x14ac:dyDescent="0.35">
      <c r="A287" s="1">
        <v>43881</v>
      </c>
      <c r="B287">
        <v>216.520004</v>
      </c>
      <c r="C287">
        <v>218.770004</v>
      </c>
      <c r="D287">
        <v>212.949997</v>
      </c>
      <c r="E287">
        <v>214.58000200000001</v>
      </c>
      <c r="F287">
        <v>214.58000200000001</v>
      </c>
      <c r="G287">
        <v>13109200</v>
      </c>
      <c r="H287" s="2">
        <f t="shared" si="4"/>
        <v>-1.3379938999955376E-2</v>
      </c>
      <c r="I287" s="2">
        <f>VLOOKUP(A287,AAPL!A:H,8,)</f>
        <v>-1.0258970524182454E-2</v>
      </c>
    </row>
    <row r="288" spans="1:9" x14ac:dyDescent="0.35">
      <c r="A288" s="1">
        <v>43882</v>
      </c>
      <c r="B288">
        <v>213.479996</v>
      </c>
      <c r="C288">
        <v>214.240005</v>
      </c>
      <c r="D288">
        <v>208.83000200000001</v>
      </c>
      <c r="E288">
        <v>210.179993</v>
      </c>
      <c r="F288">
        <v>210.179993</v>
      </c>
      <c r="G288">
        <v>14092300</v>
      </c>
      <c r="H288" s="2">
        <f t="shared" si="4"/>
        <v>-2.0505214647169256E-2</v>
      </c>
      <c r="I288" s="2">
        <f>VLOOKUP(A288,AAPL!A:H,8,)</f>
        <v>-2.263503050771265E-2</v>
      </c>
    </row>
    <row r="289" spans="1:9" x14ac:dyDescent="0.35">
      <c r="A289" s="1">
        <v>43885</v>
      </c>
      <c r="B289">
        <v>201.800003</v>
      </c>
      <c r="C289">
        <v>203.64999399999999</v>
      </c>
      <c r="D289">
        <v>198.16999799999999</v>
      </c>
      <c r="E289">
        <v>200.720001</v>
      </c>
      <c r="F289">
        <v>200.720001</v>
      </c>
      <c r="G289">
        <v>23080100</v>
      </c>
      <c r="H289" s="2">
        <f t="shared" si="4"/>
        <v>-4.5009003306989315E-2</v>
      </c>
      <c r="I289" s="2">
        <f>VLOOKUP(A289,AAPL!A:H,8,)</f>
        <v>-4.7500388340535382E-2</v>
      </c>
    </row>
    <row r="290" spans="1:9" x14ac:dyDescent="0.35">
      <c r="A290" s="1">
        <v>43886</v>
      </c>
      <c r="B290">
        <v>202.25</v>
      </c>
      <c r="C290">
        <v>203.5</v>
      </c>
      <c r="D290">
        <v>195.949997</v>
      </c>
      <c r="E290">
        <v>196.770004</v>
      </c>
      <c r="F290">
        <v>196.770004</v>
      </c>
      <c r="G290">
        <v>21433500</v>
      </c>
      <c r="H290" s="2">
        <f t="shared" si="4"/>
        <v>-1.9679139997612838E-2</v>
      </c>
      <c r="I290" s="2">
        <f>VLOOKUP(A290,AAPL!A:H,8,)</f>
        <v>-3.3872172080546603E-2</v>
      </c>
    </row>
    <row r="291" spans="1:9" x14ac:dyDescent="0.35">
      <c r="A291" s="1">
        <v>43887</v>
      </c>
      <c r="B291">
        <v>197.19000199999999</v>
      </c>
      <c r="C291">
        <v>201.21000699999999</v>
      </c>
      <c r="D291">
        <v>195.490005</v>
      </c>
      <c r="E291">
        <v>197.199997</v>
      </c>
      <c r="F291">
        <v>197.199997</v>
      </c>
      <c r="G291">
        <v>16524500</v>
      </c>
      <c r="H291" s="2">
        <f t="shared" si="4"/>
        <v>2.185256854494888E-3</v>
      </c>
      <c r="I291" s="2">
        <f>VLOOKUP(A291,AAPL!A:H,8,)</f>
        <v>1.5863663532226902E-2</v>
      </c>
    </row>
    <row r="292" spans="1:9" x14ac:dyDescent="0.35">
      <c r="A292" s="1">
        <v>43888</v>
      </c>
      <c r="B292">
        <v>191.820007</v>
      </c>
      <c r="C292">
        <v>195.88000500000001</v>
      </c>
      <c r="D292">
        <v>189.5</v>
      </c>
      <c r="E292">
        <v>189.75</v>
      </c>
      <c r="F292">
        <v>189.75</v>
      </c>
      <c r="G292">
        <v>21682600</v>
      </c>
      <c r="H292" s="2">
        <f t="shared" si="4"/>
        <v>-3.7778890027062251E-2</v>
      </c>
      <c r="I292" s="2">
        <f>VLOOKUP(A292,AAPL!A:H,8,)</f>
        <v>-6.5368202709535694E-2</v>
      </c>
    </row>
    <row r="293" spans="1:9" x14ac:dyDescent="0.35">
      <c r="A293" s="1">
        <v>43889</v>
      </c>
      <c r="B293">
        <v>182.699997</v>
      </c>
      <c r="C293">
        <v>192.740005</v>
      </c>
      <c r="D293">
        <v>181.820007</v>
      </c>
      <c r="E293">
        <v>192.470001</v>
      </c>
      <c r="F293">
        <v>192.470001</v>
      </c>
      <c r="G293">
        <v>32568900</v>
      </c>
      <c r="H293" s="2">
        <f t="shared" si="4"/>
        <v>1.4334656126482104E-2</v>
      </c>
      <c r="I293" s="2">
        <f>VLOOKUP(A293,AAPL!A:H,8,)</f>
        <v>-5.8498101425774607E-4</v>
      </c>
    </row>
    <row r="294" spans="1:9" x14ac:dyDescent="0.35">
      <c r="A294" s="1">
        <v>43892</v>
      </c>
      <c r="B294">
        <v>194.029999</v>
      </c>
      <c r="C294">
        <v>196.570007</v>
      </c>
      <c r="D294">
        <v>188.85000600000001</v>
      </c>
      <c r="E294">
        <v>196.44000199999999</v>
      </c>
      <c r="F294">
        <v>196.44000199999999</v>
      </c>
      <c r="G294">
        <v>24949000</v>
      </c>
      <c r="H294" s="2">
        <f t="shared" si="4"/>
        <v>2.0626596245510553E-2</v>
      </c>
      <c r="I294" s="2">
        <f>VLOOKUP(A294,AAPL!A:H,8,)</f>
        <v>9.3100722452486018E-2</v>
      </c>
    </row>
    <row r="295" spans="1:9" x14ac:dyDescent="0.35">
      <c r="A295" s="1">
        <v>43893</v>
      </c>
      <c r="B295">
        <v>196.220001</v>
      </c>
      <c r="C295">
        <v>197.240005</v>
      </c>
      <c r="D295">
        <v>183.970001</v>
      </c>
      <c r="E295">
        <v>185.88999899999999</v>
      </c>
      <c r="F295">
        <v>185.88999899999999</v>
      </c>
      <c r="G295">
        <v>27984100</v>
      </c>
      <c r="H295" s="2">
        <f t="shared" si="4"/>
        <v>-5.3705980923376306E-2</v>
      </c>
      <c r="I295" s="2">
        <f>VLOOKUP(A295,AAPL!A:H,8,)</f>
        <v>-3.1759272203196409E-2</v>
      </c>
    </row>
    <row r="296" spans="1:9" x14ac:dyDescent="0.35">
      <c r="A296" s="1">
        <v>43894</v>
      </c>
      <c r="B296">
        <v>189.16999799999999</v>
      </c>
      <c r="C296">
        <v>191.83000200000001</v>
      </c>
      <c r="D296">
        <v>186.38999899999999</v>
      </c>
      <c r="E296">
        <v>191.759995</v>
      </c>
      <c r="F296">
        <v>191.759995</v>
      </c>
      <c r="G296">
        <v>23062500</v>
      </c>
      <c r="H296" s="2">
        <f t="shared" si="4"/>
        <v>3.157779348850287E-2</v>
      </c>
      <c r="I296" s="2">
        <f>VLOOKUP(A296,AAPL!A:H,8,)</f>
        <v>4.6384569434962719E-2</v>
      </c>
    </row>
    <row r="297" spans="1:9" x14ac:dyDescent="0.35">
      <c r="A297" s="1">
        <v>43895</v>
      </c>
      <c r="B297">
        <v>186.779999</v>
      </c>
      <c r="C297">
        <v>188.990005</v>
      </c>
      <c r="D297">
        <v>183.88999899999999</v>
      </c>
      <c r="E297">
        <v>185.16999799999999</v>
      </c>
      <c r="F297">
        <v>185.16999799999999</v>
      </c>
      <c r="G297">
        <v>19333400</v>
      </c>
      <c r="H297" s="2">
        <f t="shared" si="4"/>
        <v>-3.4365859260686804E-2</v>
      </c>
      <c r="I297" s="2">
        <f>VLOOKUP(A297,AAPL!A:H,8,)</f>
        <v>-3.2437009511449011E-2</v>
      </c>
    </row>
    <row r="298" spans="1:9" x14ac:dyDescent="0.35">
      <c r="A298" s="1">
        <v>43896</v>
      </c>
      <c r="B298">
        <v>178.33000200000001</v>
      </c>
      <c r="C298">
        <v>183.779999</v>
      </c>
      <c r="D298">
        <v>176.259995</v>
      </c>
      <c r="E298">
        <v>181.08999600000001</v>
      </c>
      <c r="F298">
        <v>181.08999600000001</v>
      </c>
      <c r="G298">
        <v>24559600</v>
      </c>
      <c r="H298" s="2">
        <f t="shared" si="4"/>
        <v>-2.2033817811025647E-2</v>
      </c>
      <c r="I298" s="2">
        <f>VLOOKUP(A298,AAPL!A:H,8,)</f>
        <v>-1.3280116894164307E-2</v>
      </c>
    </row>
    <row r="299" spans="1:9" x14ac:dyDescent="0.35">
      <c r="A299" s="1">
        <v>43899</v>
      </c>
      <c r="B299">
        <v>169.60000600000001</v>
      </c>
      <c r="C299">
        <v>175</v>
      </c>
      <c r="D299">
        <v>165.19000199999999</v>
      </c>
      <c r="E299">
        <v>169.5</v>
      </c>
      <c r="F299">
        <v>169.5</v>
      </c>
      <c r="G299">
        <v>29949000</v>
      </c>
      <c r="H299" s="2">
        <f t="shared" si="4"/>
        <v>-6.4001304633084288E-2</v>
      </c>
      <c r="I299" s="2">
        <f>VLOOKUP(A299,AAPL!A:H,8,)</f>
        <v>-7.9092094246271949E-2</v>
      </c>
    </row>
    <row r="300" spans="1:9" x14ac:dyDescent="0.35">
      <c r="A300" s="1">
        <v>43900</v>
      </c>
      <c r="B300">
        <v>174.66999799999999</v>
      </c>
      <c r="C300">
        <v>178.28999300000001</v>
      </c>
      <c r="D300">
        <v>169.5</v>
      </c>
      <c r="E300">
        <v>178.19000199999999</v>
      </c>
      <c r="F300">
        <v>178.19000199999999</v>
      </c>
      <c r="G300">
        <v>24517800</v>
      </c>
      <c r="H300" s="2">
        <f t="shared" si="4"/>
        <v>5.1268448377581155E-2</v>
      </c>
      <c r="I300" s="2">
        <f>VLOOKUP(A300,AAPL!A:H,8,)</f>
        <v>7.2021576946091237E-2</v>
      </c>
    </row>
    <row r="301" spans="1:9" x14ac:dyDescent="0.35">
      <c r="A301" s="1">
        <v>43901</v>
      </c>
      <c r="B301">
        <v>174.009995</v>
      </c>
      <c r="C301">
        <v>175.88000500000001</v>
      </c>
      <c r="D301">
        <v>167.66000399999999</v>
      </c>
      <c r="E301">
        <v>170.240005</v>
      </c>
      <c r="F301">
        <v>170.240005</v>
      </c>
      <c r="G301">
        <v>20373900</v>
      </c>
      <c r="H301" s="2">
        <f t="shared" si="4"/>
        <v>-4.4615280940397573E-2</v>
      </c>
      <c r="I301" s="2">
        <f>VLOOKUP(A301,AAPL!A:H,8,)</f>
        <v>-3.4730511456234736E-2</v>
      </c>
    </row>
    <row r="302" spans="1:9" x14ac:dyDescent="0.35">
      <c r="A302" s="1">
        <v>43902</v>
      </c>
      <c r="B302">
        <v>159.53999300000001</v>
      </c>
      <c r="C302">
        <v>166.60000600000001</v>
      </c>
      <c r="D302">
        <v>154.33999600000001</v>
      </c>
      <c r="E302">
        <v>154.470001</v>
      </c>
      <c r="F302">
        <v>154.470001</v>
      </c>
      <c r="G302">
        <v>43266300</v>
      </c>
      <c r="H302" s="2">
        <f t="shared" si="4"/>
        <v>-9.2633949346982214E-2</v>
      </c>
      <c r="I302" s="2">
        <f>VLOOKUP(A302,AAPL!A:H,8,)</f>
        <v>-9.8754662854581343E-2</v>
      </c>
    </row>
    <row r="303" spans="1:9" x14ac:dyDescent="0.35">
      <c r="A303" s="1">
        <v>43903</v>
      </c>
      <c r="B303">
        <v>163.529999</v>
      </c>
      <c r="C303">
        <v>170.78999300000001</v>
      </c>
      <c r="D303">
        <v>157.60000600000001</v>
      </c>
      <c r="E303">
        <v>170.279999</v>
      </c>
      <c r="F303">
        <v>170.279999</v>
      </c>
      <c r="G303">
        <v>35028600</v>
      </c>
      <c r="H303" s="2">
        <f t="shared" si="4"/>
        <v>0.10234995725804397</v>
      </c>
      <c r="I303" s="2">
        <f>VLOOKUP(A303,AAPL!A:H,8,)</f>
        <v>0.11980826040056836</v>
      </c>
    </row>
    <row r="304" spans="1:9" x14ac:dyDescent="0.35">
      <c r="A304" s="1">
        <v>43906</v>
      </c>
      <c r="B304">
        <v>152.320007</v>
      </c>
      <c r="C304">
        <v>159.13000500000001</v>
      </c>
      <c r="D304">
        <v>143.10000600000001</v>
      </c>
      <c r="E304">
        <v>146.009995</v>
      </c>
      <c r="F304">
        <v>146.009995</v>
      </c>
      <c r="G304">
        <v>39120400</v>
      </c>
      <c r="H304" s="2">
        <f t="shared" si="4"/>
        <v>-0.14252997499723974</v>
      </c>
      <c r="I304" s="2">
        <f>VLOOKUP(A304,AAPL!A:H,8,)</f>
        <v>-0.12864694751232164</v>
      </c>
    </row>
    <row r="305" spans="1:9" x14ac:dyDescent="0.35">
      <c r="A305" s="1">
        <v>43907</v>
      </c>
      <c r="B305">
        <v>150.740005</v>
      </c>
      <c r="C305">
        <v>153.94000199999999</v>
      </c>
      <c r="D305">
        <v>140</v>
      </c>
      <c r="E305">
        <v>149.41999799999999</v>
      </c>
      <c r="F305">
        <v>149.41999799999999</v>
      </c>
      <c r="G305">
        <v>34255600</v>
      </c>
      <c r="H305" s="2">
        <f t="shared" si="4"/>
        <v>2.3354586102136254E-2</v>
      </c>
      <c r="I305" s="2">
        <f>VLOOKUP(A305,AAPL!A:H,8,)</f>
        <v>4.3970074101975287E-2</v>
      </c>
    </row>
    <row r="306" spans="1:9" x14ac:dyDescent="0.35">
      <c r="A306" s="1">
        <v>43908</v>
      </c>
      <c r="B306">
        <v>139.75</v>
      </c>
      <c r="C306">
        <v>148.179993</v>
      </c>
      <c r="D306">
        <v>137.10000600000001</v>
      </c>
      <c r="E306">
        <v>146.96000699999999</v>
      </c>
      <c r="F306">
        <v>146.96000699999999</v>
      </c>
      <c r="G306">
        <v>37553100</v>
      </c>
      <c r="H306" s="2">
        <f t="shared" si="4"/>
        <v>-1.6463599470801782E-2</v>
      </c>
      <c r="I306" s="2">
        <f>VLOOKUP(A306,AAPL!A:H,8,)</f>
        <v>-2.4479949379103139E-2</v>
      </c>
    </row>
    <row r="307" spans="1:9" x14ac:dyDescent="0.35">
      <c r="A307" s="1">
        <v>43909</v>
      </c>
      <c r="B307">
        <v>146.61999499999999</v>
      </c>
      <c r="C307">
        <v>159.929993</v>
      </c>
      <c r="D307">
        <v>144.800003</v>
      </c>
      <c r="E307">
        <v>153.13000500000001</v>
      </c>
      <c r="F307">
        <v>153.13000500000001</v>
      </c>
      <c r="G307">
        <v>39862300</v>
      </c>
      <c r="H307" s="2">
        <f t="shared" si="4"/>
        <v>4.1984197782462207E-2</v>
      </c>
      <c r="I307" s="2">
        <f>VLOOKUP(A307,AAPL!A:H,8,)</f>
        <v>-7.6620586208293595E-3</v>
      </c>
    </row>
    <row r="308" spans="1:9" x14ac:dyDescent="0.35">
      <c r="A308" s="1">
        <v>43910</v>
      </c>
      <c r="B308">
        <v>156.020004</v>
      </c>
      <c r="C308">
        <v>159.270004</v>
      </c>
      <c r="D308">
        <v>148</v>
      </c>
      <c r="E308">
        <v>149.729996</v>
      </c>
      <c r="F308">
        <v>149.729996</v>
      </c>
      <c r="G308">
        <v>32568400</v>
      </c>
      <c r="H308" s="2">
        <f t="shared" si="4"/>
        <v>-2.2203414673695132E-2</v>
      </c>
      <c r="I308" s="2">
        <f>VLOOKUP(A308,AAPL!A:H,8,)</f>
        <v>-6.3485562545959606E-2</v>
      </c>
    </row>
    <row r="309" spans="1:9" x14ac:dyDescent="0.35">
      <c r="A309" s="1">
        <v>43913</v>
      </c>
      <c r="B309">
        <v>149.66000399999999</v>
      </c>
      <c r="C309">
        <v>152.30999800000001</v>
      </c>
      <c r="D309">
        <v>142.25</v>
      </c>
      <c r="E309">
        <v>148.10000600000001</v>
      </c>
      <c r="F309">
        <v>148.10000600000001</v>
      </c>
      <c r="G309">
        <v>29830800</v>
      </c>
      <c r="H309" s="2">
        <f t="shared" si="4"/>
        <v>-1.0886195442094238E-2</v>
      </c>
      <c r="I309" s="2">
        <f>VLOOKUP(A309,AAPL!A:H,8,)</f>
        <v>-2.1244145502632317E-2</v>
      </c>
    </row>
    <row r="310" spans="1:9" x14ac:dyDescent="0.35">
      <c r="A310" s="1">
        <v>43914</v>
      </c>
      <c r="B310">
        <v>155.21000699999999</v>
      </c>
      <c r="C310">
        <v>161.30999800000001</v>
      </c>
      <c r="D310">
        <v>152.570007</v>
      </c>
      <c r="E310">
        <v>160.979996</v>
      </c>
      <c r="F310">
        <v>160.979996</v>
      </c>
      <c r="G310">
        <v>30440400</v>
      </c>
      <c r="H310" s="2">
        <f t="shared" si="4"/>
        <v>8.6968193640721392E-2</v>
      </c>
      <c r="I310" s="2">
        <f>VLOOKUP(A310,AAPL!A:H,8,)</f>
        <v>0.10032539288363695</v>
      </c>
    </row>
    <row r="311" spans="1:9" x14ac:dyDescent="0.35">
      <c r="A311" s="1">
        <v>43915</v>
      </c>
      <c r="B311">
        <v>158.91999799999999</v>
      </c>
      <c r="C311">
        <v>162.990005</v>
      </c>
      <c r="D311">
        <v>153.05999800000001</v>
      </c>
      <c r="E311">
        <v>156.21000699999999</v>
      </c>
      <c r="F311">
        <v>156.21000699999999</v>
      </c>
      <c r="G311">
        <v>35184300</v>
      </c>
      <c r="H311" s="2">
        <f t="shared" si="4"/>
        <v>-2.9630942468156118E-2</v>
      </c>
      <c r="I311" s="2">
        <f>VLOOKUP(A311,AAPL!A:H,8,)</f>
        <v>-5.5087491006360345E-3</v>
      </c>
    </row>
    <row r="312" spans="1:9" x14ac:dyDescent="0.35">
      <c r="A312" s="1">
        <v>43916</v>
      </c>
      <c r="B312">
        <v>158.25</v>
      </c>
      <c r="C312">
        <v>164</v>
      </c>
      <c r="D312">
        <v>157.020004</v>
      </c>
      <c r="E312">
        <v>163.33999600000001</v>
      </c>
      <c r="F312">
        <v>163.33999600000001</v>
      </c>
      <c r="G312">
        <v>26556800</v>
      </c>
      <c r="H312" s="2">
        <f t="shared" si="4"/>
        <v>4.5643612319920202E-2</v>
      </c>
      <c r="I312" s="2">
        <f>VLOOKUP(A312,AAPL!A:H,8,)</f>
        <v>5.262300337857595E-2</v>
      </c>
    </row>
    <row r="313" spans="1:9" x14ac:dyDescent="0.35">
      <c r="A313" s="1">
        <v>43917</v>
      </c>
      <c r="B313">
        <v>158.199997</v>
      </c>
      <c r="C313">
        <v>160.08999600000001</v>
      </c>
      <c r="D313">
        <v>154.75</v>
      </c>
      <c r="E313">
        <v>156.78999300000001</v>
      </c>
      <c r="F313">
        <v>156.78999300000001</v>
      </c>
      <c r="G313">
        <v>24879900</v>
      </c>
      <c r="H313" s="2">
        <f t="shared" si="4"/>
        <v>-4.0100423413748643E-2</v>
      </c>
      <c r="I313" s="2">
        <f>VLOOKUP(A313,AAPL!A:H,8,)</f>
        <v>-4.1402259071316228E-2</v>
      </c>
    </row>
    <row r="314" spans="1:9" x14ac:dyDescent="0.35">
      <c r="A314" s="1">
        <v>43920</v>
      </c>
      <c r="B314">
        <v>159.179993</v>
      </c>
      <c r="C314">
        <v>166.75</v>
      </c>
      <c r="D314">
        <v>158.05999800000001</v>
      </c>
      <c r="E314">
        <v>165.949997</v>
      </c>
      <c r="F314">
        <v>165.949997</v>
      </c>
      <c r="G314">
        <v>22515200</v>
      </c>
      <c r="H314" s="2">
        <f t="shared" si="4"/>
        <v>5.8422121365870439E-2</v>
      </c>
      <c r="I314" s="2">
        <f>VLOOKUP(A314,AAPL!A:H,8,)</f>
        <v>2.8537950616970287E-2</v>
      </c>
    </row>
    <row r="315" spans="1:9" x14ac:dyDescent="0.35">
      <c r="A315" s="1">
        <v>43921</v>
      </c>
      <c r="B315">
        <v>165.479996</v>
      </c>
      <c r="C315">
        <v>170.929993</v>
      </c>
      <c r="D315">
        <v>164.199997</v>
      </c>
      <c r="E315">
        <v>166.800003</v>
      </c>
      <c r="F315">
        <v>166.800003</v>
      </c>
      <c r="G315">
        <v>23676300</v>
      </c>
      <c r="H315" s="2">
        <f t="shared" si="4"/>
        <v>5.1220609543005668E-3</v>
      </c>
      <c r="I315" s="2">
        <f>VLOOKUP(A315,AAPL!A:H,8,)</f>
        <v>-2.0407519648483197E-3</v>
      </c>
    </row>
    <row r="316" spans="1:9" x14ac:dyDescent="0.35">
      <c r="A316" s="1">
        <v>43922</v>
      </c>
      <c r="B316">
        <v>161.61999499999999</v>
      </c>
      <c r="C316">
        <v>164.14999399999999</v>
      </c>
      <c r="D316">
        <v>158.03999300000001</v>
      </c>
      <c r="E316">
        <v>159.60000600000001</v>
      </c>
      <c r="F316">
        <v>159.60000600000001</v>
      </c>
      <c r="G316">
        <v>19507600</v>
      </c>
      <c r="H316" s="2">
        <f t="shared" si="4"/>
        <v>-4.31654488639307E-2</v>
      </c>
      <c r="I316" s="2">
        <f>VLOOKUP(A316,AAPL!A:H,8,)</f>
        <v>-5.2617045188314115E-2</v>
      </c>
    </row>
    <row r="317" spans="1:9" x14ac:dyDescent="0.35">
      <c r="A317" s="1">
        <v>43923</v>
      </c>
      <c r="B317">
        <v>159.10000600000001</v>
      </c>
      <c r="C317">
        <v>161.35000600000001</v>
      </c>
      <c r="D317">
        <v>155.91999799999999</v>
      </c>
      <c r="E317">
        <v>158.19000199999999</v>
      </c>
      <c r="F317">
        <v>158.19000199999999</v>
      </c>
      <c r="G317">
        <v>20886300</v>
      </c>
      <c r="H317" s="2">
        <f t="shared" si="4"/>
        <v>-8.8346111966939311E-3</v>
      </c>
      <c r="I317" s="2">
        <f>VLOOKUP(A317,AAPL!A:H,8,)</f>
        <v>1.6686679395846227E-2</v>
      </c>
    </row>
    <row r="318" spans="1:9" x14ac:dyDescent="0.35">
      <c r="A318" s="1">
        <v>43924</v>
      </c>
      <c r="B318">
        <v>157.14999399999999</v>
      </c>
      <c r="C318">
        <v>157.91000399999999</v>
      </c>
      <c r="D318">
        <v>150.83000200000001</v>
      </c>
      <c r="E318">
        <v>154.179993</v>
      </c>
      <c r="F318">
        <v>154.179993</v>
      </c>
      <c r="G318">
        <v>25983300</v>
      </c>
      <c r="H318" s="2">
        <f t="shared" si="4"/>
        <v>-2.5349320116956564E-2</v>
      </c>
      <c r="I318" s="2">
        <f>VLOOKUP(A318,AAPL!A:H,8,)</f>
        <v>-1.4371404544038069E-2</v>
      </c>
    </row>
    <row r="319" spans="1:9" x14ac:dyDescent="0.35">
      <c r="A319" s="1">
        <v>43927</v>
      </c>
      <c r="B319">
        <v>160.14999399999999</v>
      </c>
      <c r="C319">
        <v>166.199997</v>
      </c>
      <c r="D319">
        <v>158.509995</v>
      </c>
      <c r="E319">
        <v>165.550003</v>
      </c>
      <c r="F319">
        <v>165.550003</v>
      </c>
      <c r="G319">
        <v>28453600</v>
      </c>
      <c r="H319" s="2">
        <f t="shared" si="4"/>
        <v>7.3745041615094653E-2</v>
      </c>
      <c r="I319" s="2">
        <f>VLOOKUP(A319,AAPL!A:H,8,)</f>
        <v>8.7237461791351611E-2</v>
      </c>
    </row>
    <row r="320" spans="1:9" x14ac:dyDescent="0.35">
      <c r="A320" s="1">
        <v>43928</v>
      </c>
      <c r="B320">
        <v>171.78999300000001</v>
      </c>
      <c r="C320">
        <v>173.38999899999999</v>
      </c>
      <c r="D320">
        <v>166.009995</v>
      </c>
      <c r="E320">
        <v>168.83000200000001</v>
      </c>
      <c r="F320">
        <v>168.83000200000001</v>
      </c>
      <c r="G320">
        <v>31411900</v>
      </c>
      <c r="H320" s="2">
        <f t="shared" si="4"/>
        <v>1.981273899463476E-2</v>
      </c>
      <c r="I320" s="2">
        <f>VLOOKUP(A320,AAPL!A:H,8,)</f>
        <v>-1.158230654931991E-2</v>
      </c>
    </row>
    <row r="321" spans="1:9" x14ac:dyDescent="0.35">
      <c r="A321" s="1">
        <v>43929</v>
      </c>
      <c r="B321">
        <v>171.25</v>
      </c>
      <c r="C321">
        <v>175</v>
      </c>
      <c r="D321">
        <v>167.740005</v>
      </c>
      <c r="E321">
        <v>174.279999</v>
      </c>
      <c r="F321">
        <v>174.279999</v>
      </c>
      <c r="G321">
        <v>21664200</v>
      </c>
      <c r="H321" s="2">
        <f t="shared" si="4"/>
        <v>3.2280974562802989E-2</v>
      </c>
      <c r="I321" s="2">
        <f>VLOOKUP(A321,AAPL!A:H,8,)</f>
        <v>2.5594635180037129E-2</v>
      </c>
    </row>
    <row r="322" spans="1:9" x14ac:dyDescent="0.35">
      <c r="A322" s="1">
        <v>43930</v>
      </c>
      <c r="B322">
        <v>175.89999399999999</v>
      </c>
      <c r="C322">
        <v>177.08000200000001</v>
      </c>
      <c r="D322">
        <v>171.570007</v>
      </c>
      <c r="E322">
        <v>175.19000199999999</v>
      </c>
      <c r="F322">
        <v>175.19000199999999</v>
      </c>
      <c r="G322">
        <v>23534300</v>
      </c>
      <c r="H322" s="2">
        <f t="shared" si="4"/>
        <v>5.2214999152024877E-3</v>
      </c>
      <c r="I322" s="2">
        <f>VLOOKUP(A322,AAPL!A:H,8,)</f>
        <v>7.2160857754399732E-3</v>
      </c>
    </row>
    <row r="323" spans="1:9" x14ac:dyDescent="0.35">
      <c r="A323" s="1">
        <v>43934</v>
      </c>
      <c r="B323">
        <v>173.66999799999999</v>
      </c>
      <c r="C323">
        <v>175</v>
      </c>
      <c r="D323">
        <v>169.449997</v>
      </c>
      <c r="E323">
        <v>174.78999300000001</v>
      </c>
      <c r="F323">
        <v>174.78999300000001</v>
      </c>
      <c r="G323">
        <v>19355400</v>
      </c>
      <c r="H323" s="2">
        <f t="shared" si="4"/>
        <v>-2.2832866912119165E-3</v>
      </c>
      <c r="I323" s="2">
        <f>VLOOKUP(A323,AAPL!A:H,8,)</f>
        <v>1.962762848248456E-2</v>
      </c>
    </row>
    <row r="324" spans="1:9" x14ac:dyDescent="0.35">
      <c r="A324" s="1">
        <v>43935</v>
      </c>
      <c r="B324">
        <v>178.979996</v>
      </c>
      <c r="C324">
        <v>181.229996</v>
      </c>
      <c r="D324">
        <v>176.61999499999999</v>
      </c>
      <c r="E324">
        <v>178.16999799999999</v>
      </c>
      <c r="F324">
        <v>178.16999799999999</v>
      </c>
      <c r="G324">
        <v>21011800</v>
      </c>
      <c r="H324" s="2">
        <f t="shared" ref="H324:H387" si="5">E324/E323-1</f>
        <v>1.9337520083315018E-2</v>
      </c>
      <c r="I324" s="2">
        <f>VLOOKUP(A324,AAPL!A:H,8,)</f>
        <v>5.0503158279963323E-2</v>
      </c>
    </row>
    <row r="325" spans="1:9" x14ac:dyDescent="0.35">
      <c r="A325" s="1">
        <v>43936</v>
      </c>
      <c r="B325">
        <v>175.19000199999999</v>
      </c>
      <c r="C325">
        <v>178.19000199999999</v>
      </c>
      <c r="D325">
        <v>172.820007</v>
      </c>
      <c r="E325">
        <v>176.970001</v>
      </c>
      <c r="F325">
        <v>176.970001</v>
      </c>
      <c r="G325">
        <v>17423000</v>
      </c>
      <c r="H325" s="2">
        <f t="shared" si="5"/>
        <v>-6.7351238338118069E-3</v>
      </c>
      <c r="I325" s="2">
        <f>VLOOKUP(A325,AAPL!A:H,8,)</f>
        <v>-9.1273161802046809E-3</v>
      </c>
    </row>
    <row r="326" spans="1:9" x14ac:dyDescent="0.35">
      <c r="A326" s="1">
        <v>43937</v>
      </c>
      <c r="B326">
        <v>177.949997</v>
      </c>
      <c r="C326">
        <v>178.050003</v>
      </c>
      <c r="D326">
        <v>172.509995</v>
      </c>
      <c r="E326">
        <v>176.25</v>
      </c>
      <c r="F326">
        <v>176.25</v>
      </c>
      <c r="G326">
        <v>23593200</v>
      </c>
      <c r="H326" s="2">
        <f t="shared" si="5"/>
        <v>-4.0684918117844804E-3</v>
      </c>
      <c r="I326" s="2">
        <f>VLOOKUP(A326,AAPL!A:H,8,)</f>
        <v>7.945758406518344E-3</v>
      </c>
    </row>
    <row r="327" spans="1:9" x14ac:dyDescent="0.35">
      <c r="A327" s="1">
        <v>43938</v>
      </c>
      <c r="B327">
        <v>179.199997</v>
      </c>
      <c r="C327">
        <v>180.279999</v>
      </c>
      <c r="D327">
        <v>176.66000399999999</v>
      </c>
      <c r="E327">
        <v>179.240005</v>
      </c>
      <c r="F327">
        <v>179.240005</v>
      </c>
      <c r="G327">
        <v>20974800</v>
      </c>
      <c r="H327" s="2">
        <f t="shared" si="5"/>
        <v>1.6964567375886475E-2</v>
      </c>
      <c r="I327" s="2">
        <f>VLOOKUP(A327,AAPL!A:H,8,)</f>
        <v>-1.3568718635896371E-2</v>
      </c>
    </row>
    <row r="328" spans="1:9" x14ac:dyDescent="0.35">
      <c r="A328" s="1">
        <v>43941</v>
      </c>
      <c r="B328">
        <v>177.41000399999999</v>
      </c>
      <c r="C328">
        <v>180.5</v>
      </c>
      <c r="D328">
        <v>176.770004</v>
      </c>
      <c r="E328">
        <v>178.240005</v>
      </c>
      <c r="F328">
        <v>178.240005</v>
      </c>
      <c r="G328">
        <v>16110700</v>
      </c>
      <c r="H328" s="2">
        <f t="shared" si="5"/>
        <v>-5.5791116497680981E-3</v>
      </c>
      <c r="I328" s="2">
        <f>VLOOKUP(A328,AAPL!A:H,8,)</f>
        <v>-2.075670526548945E-2</v>
      </c>
    </row>
    <row r="329" spans="1:9" x14ac:dyDescent="0.35">
      <c r="A329" s="1">
        <v>43942</v>
      </c>
      <c r="B329">
        <v>175.25</v>
      </c>
      <c r="C329">
        <v>175.38000500000001</v>
      </c>
      <c r="D329">
        <v>168.33999600000001</v>
      </c>
      <c r="E329">
        <v>170.800003</v>
      </c>
      <c r="F329">
        <v>170.800003</v>
      </c>
      <c r="G329">
        <v>24850500</v>
      </c>
      <c r="H329" s="2">
        <f t="shared" si="5"/>
        <v>-4.1741482222242943E-2</v>
      </c>
      <c r="I329" s="2">
        <f>VLOOKUP(A329,AAPL!A:H,8,)</f>
        <v>-3.0910324801511568E-2</v>
      </c>
    </row>
    <row r="330" spans="1:9" x14ac:dyDescent="0.35">
      <c r="A330" s="1">
        <v>43943</v>
      </c>
      <c r="B330">
        <v>178.449997</v>
      </c>
      <c r="C330">
        <v>184.779999</v>
      </c>
      <c r="D330">
        <v>178.13999899999999</v>
      </c>
      <c r="E330">
        <v>182.279999</v>
      </c>
      <c r="F330">
        <v>182.279999</v>
      </c>
      <c r="G330">
        <v>33242000</v>
      </c>
      <c r="H330" s="2">
        <f t="shared" si="5"/>
        <v>6.7213090154336852E-2</v>
      </c>
      <c r="I330" s="2">
        <f>VLOOKUP(A330,AAPL!A:H,8,)</f>
        <v>2.8803562675463912E-2</v>
      </c>
    </row>
    <row r="331" spans="1:9" x14ac:dyDescent="0.35">
      <c r="A331" s="1">
        <v>43944</v>
      </c>
      <c r="B331">
        <v>184.08000200000001</v>
      </c>
      <c r="C331">
        <v>187.050003</v>
      </c>
      <c r="D331">
        <v>183.14999399999999</v>
      </c>
      <c r="E331">
        <v>185.13000500000001</v>
      </c>
      <c r="F331">
        <v>185.13000500000001</v>
      </c>
      <c r="G331">
        <v>21426600</v>
      </c>
      <c r="H331" s="2">
        <f t="shared" si="5"/>
        <v>1.5635319374782242E-2</v>
      </c>
      <c r="I331" s="2">
        <f>VLOOKUP(A331,AAPL!A:H,8,)</f>
        <v>-3.8754363237831768E-3</v>
      </c>
    </row>
    <row r="332" spans="1:9" x14ac:dyDescent="0.35">
      <c r="A332" s="1">
        <v>43945</v>
      </c>
      <c r="B332">
        <v>183.229996</v>
      </c>
      <c r="C332">
        <v>190.41000399999999</v>
      </c>
      <c r="D332">
        <v>180.83000200000001</v>
      </c>
      <c r="E332">
        <v>190.070007</v>
      </c>
      <c r="F332">
        <v>190.070007</v>
      </c>
      <c r="G332">
        <v>28792000</v>
      </c>
      <c r="H332" s="2">
        <f t="shared" si="5"/>
        <v>2.6683961900179298E-2</v>
      </c>
      <c r="I332" s="2">
        <f>VLOOKUP(A332,AAPL!A:H,8,)</f>
        <v>2.8869577864233165E-2</v>
      </c>
    </row>
    <row r="333" spans="1:9" x14ac:dyDescent="0.35">
      <c r="A333" s="1">
        <v>43948</v>
      </c>
      <c r="B333">
        <v>192.66000399999999</v>
      </c>
      <c r="C333">
        <v>193.75</v>
      </c>
      <c r="D333">
        <v>187.41000399999999</v>
      </c>
      <c r="E333">
        <v>187.5</v>
      </c>
      <c r="F333">
        <v>187.5</v>
      </c>
      <c r="G333">
        <v>29197800</v>
      </c>
      <c r="H333" s="2">
        <f t="shared" si="5"/>
        <v>-1.3521370575842684E-2</v>
      </c>
      <c r="I333" s="2">
        <f>VLOOKUP(A333,AAPL!A:H,8,)</f>
        <v>7.0683111283864619E-4</v>
      </c>
    </row>
    <row r="334" spans="1:9" x14ac:dyDescent="0.35">
      <c r="A334" s="1">
        <v>43949</v>
      </c>
      <c r="B334">
        <v>188.66000399999999</v>
      </c>
      <c r="C334">
        <v>189.199997</v>
      </c>
      <c r="D334">
        <v>182.55999800000001</v>
      </c>
      <c r="E334">
        <v>182.91000399999999</v>
      </c>
      <c r="F334">
        <v>182.91000399999999</v>
      </c>
      <c r="G334">
        <v>21731000</v>
      </c>
      <c r="H334" s="2">
        <f t="shared" si="5"/>
        <v>-2.4479978666666735E-2</v>
      </c>
      <c r="I334" s="2">
        <f>VLOOKUP(A334,AAPL!A:H,8,)</f>
        <v>-1.6209428278019633E-2</v>
      </c>
    </row>
    <row r="335" spans="1:9" x14ac:dyDescent="0.35">
      <c r="A335" s="1">
        <v>43950</v>
      </c>
      <c r="B335">
        <v>190.929993</v>
      </c>
      <c r="C335">
        <v>196.91000399999999</v>
      </c>
      <c r="D335">
        <v>190</v>
      </c>
      <c r="E335">
        <v>194.19000199999999</v>
      </c>
      <c r="F335">
        <v>194.19000199999999</v>
      </c>
      <c r="G335">
        <v>45954500</v>
      </c>
      <c r="H335" s="2">
        <f t="shared" si="5"/>
        <v>6.1669661326998915E-2</v>
      </c>
      <c r="I335" s="2">
        <f>VLOOKUP(A335,AAPL!A:H,8,)</f>
        <v>3.2845230792385438E-2</v>
      </c>
    </row>
    <row r="336" spans="1:9" x14ac:dyDescent="0.35">
      <c r="A336" s="1">
        <v>43951</v>
      </c>
      <c r="B336">
        <v>206.91999799999999</v>
      </c>
      <c r="C336">
        <v>209.69000199999999</v>
      </c>
      <c r="D336">
        <v>201.570007</v>
      </c>
      <c r="E336">
        <v>204.71000699999999</v>
      </c>
      <c r="F336">
        <v>204.71000699999999</v>
      </c>
      <c r="G336">
        <v>46230100</v>
      </c>
      <c r="H336" s="2">
        <f t="shared" si="5"/>
        <v>5.4173772550864863E-2</v>
      </c>
      <c r="I336" s="2">
        <f>VLOOKUP(A336,AAPL!A:H,8,)</f>
        <v>2.1096082253664994E-2</v>
      </c>
    </row>
    <row r="337" spans="1:9" x14ac:dyDescent="0.35">
      <c r="A337" s="1">
        <v>43952</v>
      </c>
      <c r="B337">
        <v>201.60000600000001</v>
      </c>
      <c r="C337">
        <v>207.279999</v>
      </c>
      <c r="D337">
        <v>199.050003</v>
      </c>
      <c r="E337">
        <v>202.270004</v>
      </c>
      <c r="F337">
        <v>202.270004</v>
      </c>
      <c r="G337">
        <v>30415600</v>
      </c>
      <c r="H337" s="2">
        <f t="shared" si="5"/>
        <v>-1.191931472114105E-2</v>
      </c>
      <c r="I337" s="2">
        <f>VLOOKUP(A337,AAPL!A:H,8,)</f>
        <v>-1.609931992236846E-2</v>
      </c>
    </row>
    <row r="338" spans="1:9" x14ac:dyDescent="0.35">
      <c r="A338" s="1">
        <v>43955</v>
      </c>
      <c r="B338">
        <v>200.199997</v>
      </c>
      <c r="C338">
        <v>205.91000399999999</v>
      </c>
      <c r="D338">
        <v>198.759995</v>
      </c>
      <c r="E338">
        <v>205.259995</v>
      </c>
      <c r="F338">
        <v>205.259995</v>
      </c>
      <c r="G338">
        <v>19250700</v>
      </c>
      <c r="H338" s="2">
        <f t="shared" si="5"/>
        <v>1.4782176995457919E-2</v>
      </c>
      <c r="I338" s="2">
        <f>VLOOKUP(A338,AAPL!A:H,8,)</f>
        <v>1.4148807855569823E-2</v>
      </c>
    </row>
    <row r="339" spans="1:9" x14ac:dyDescent="0.35">
      <c r="A339" s="1">
        <v>43956</v>
      </c>
      <c r="B339">
        <v>207.020004</v>
      </c>
      <c r="C339">
        <v>210.38000500000001</v>
      </c>
      <c r="D339">
        <v>206.5</v>
      </c>
      <c r="E339">
        <v>207.070007</v>
      </c>
      <c r="F339">
        <v>207.070007</v>
      </c>
      <c r="G339">
        <v>21071200</v>
      </c>
      <c r="H339" s="2">
        <f t="shared" si="5"/>
        <v>8.8181430580274167E-3</v>
      </c>
      <c r="I339" s="2">
        <f>VLOOKUP(A339,AAPL!A:H,8,)</f>
        <v>1.5008841383424176E-2</v>
      </c>
    </row>
    <row r="340" spans="1:9" x14ac:dyDescent="0.35">
      <c r="A340" s="1">
        <v>43957</v>
      </c>
      <c r="B340">
        <v>208.11999499999999</v>
      </c>
      <c r="C340">
        <v>211.60000600000001</v>
      </c>
      <c r="D340">
        <v>206.66000399999999</v>
      </c>
      <c r="E340">
        <v>208.470001</v>
      </c>
      <c r="F340">
        <v>208.470001</v>
      </c>
      <c r="G340">
        <v>21857000</v>
      </c>
      <c r="H340" s="2">
        <f t="shared" si="5"/>
        <v>6.7609694918298047E-3</v>
      </c>
      <c r="I340" s="2">
        <f>VLOOKUP(A340,AAPL!A:H,8,)</f>
        <v>1.0317273965818829E-2</v>
      </c>
    </row>
    <row r="341" spans="1:9" x14ac:dyDescent="0.35">
      <c r="A341" s="1">
        <v>43958</v>
      </c>
      <c r="B341">
        <v>211.16000399999999</v>
      </c>
      <c r="C341">
        <v>211.60000600000001</v>
      </c>
      <c r="D341">
        <v>209.03999300000001</v>
      </c>
      <c r="E341">
        <v>211.259995</v>
      </c>
      <c r="F341">
        <v>211.259995</v>
      </c>
      <c r="G341">
        <v>15152000</v>
      </c>
      <c r="H341" s="2">
        <f t="shared" si="5"/>
        <v>1.3383191761964897E-2</v>
      </c>
      <c r="I341" s="2">
        <f>VLOOKUP(A341,AAPL!A:H,8,)</f>
        <v>1.0344902234043163E-2</v>
      </c>
    </row>
    <row r="342" spans="1:9" x14ac:dyDescent="0.35">
      <c r="A342" s="1">
        <v>43959</v>
      </c>
      <c r="B342">
        <v>212.240005</v>
      </c>
      <c r="C342">
        <v>213.21000699999999</v>
      </c>
      <c r="D342">
        <v>210.85000600000001</v>
      </c>
      <c r="E342">
        <v>212.35000600000001</v>
      </c>
      <c r="F342">
        <v>212.35000600000001</v>
      </c>
      <c r="G342">
        <v>12506000</v>
      </c>
      <c r="H342" s="2">
        <f t="shared" si="5"/>
        <v>5.1595712666754334E-3</v>
      </c>
      <c r="I342" s="2">
        <f>VLOOKUP(A342,AAPL!A:H,8,)</f>
        <v>2.1037769698762698E-2</v>
      </c>
    </row>
    <row r="343" spans="1:9" x14ac:dyDescent="0.35">
      <c r="A343" s="1">
        <v>43962</v>
      </c>
      <c r="B343">
        <v>210.88999899999999</v>
      </c>
      <c r="C343">
        <v>215</v>
      </c>
      <c r="D343">
        <v>210.36999499999999</v>
      </c>
      <c r="E343">
        <v>213.179993</v>
      </c>
      <c r="F343">
        <v>213.179993</v>
      </c>
      <c r="G343">
        <v>12911900</v>
      </c>
      <c r="H343" s="2">
        <f t="shared" si="5"/>
        <v>3.9085800638027912E-3</v>
      </c>
      <c r="I343" s="2">
        <f>VLOOKUP(A343,AAPL!A:H,8,)</f>
        <v>1.5735349489113037E-2</v>
      </c>
    </row>
    <row r="344" spans="1:9" x14ac:dyDescent="0.35">
      <c r="A344" s="1">
        <v>43963</v>
      </c>
      <c r="B344">
        <v>213.28999300000001</v>
      </c>
      <c r="C344">
        <v>215.279999</v>
      </c>
      <c r="D344">
        <v>210</v>
      </c>
      <c r="E344">
        <v>210.10000600000001</v>
      </c>
      <c r="F344">
        <v>210.10000600000001</v>
      </c>
      <c r="G344">
        <v>14704600</v>
      </c>
      <c r="H344" s="2">
        <f t="shared" si="5"/>
        <v>-1.4447823910004431E-2</v>
      </c>
      <c r="I344" s="2">
        <f>VLOOKUP(A344,AAPL!A:H,8,)</f>
        <v>-1.142822103607577E-2</v>
      </c>
    </row>
    <row r="345" spans="1:9" x14ac:dyDescent="0.35">
      <c r="A345" s="1">
        <v>43964</v>
      </c>
      <c r="B345">
        <v>209.429993</v>
      </c>
      <c r="C345">
        <v>210.779999</v>
      </c>
      <c r="D345">
        <v>202.11000100000001</v>
      </c>
      <c r="E345">
        <v>205.10000600000001</v>
      </c>
      <c r="F345">
        <v>205.10000600000001</v>
      </c>
      <c r="G345">
        <v>20684600</v>
      </c>
      <c r="H345" s="2">
        <f t="shared" si="5"/>
        <v>-2.3798190657833729E-2</v>
      </c>
      <c r="I345" s="2">
        <f>VLOOKUP(A345,AAPL!A:H,8,)</f>
        <v>-1.2074152890733769E-2</v>
      </c>
    </row>
    <row r="346" spans="1:9" x14ac:dyDescent="0.35">
      <c r="A346" s="1">
        <v>43965</v>
      </c>
      <c r="B346">
        <v>202.55999800000001</v>
      </c>
      <c r="C346">
        <v>206.929993</v>
      </c>
      <c r="D346">
        <v>200.69000199999999</v>
      </c>
      <c r="E346">
        <v>206.80999800000001</v>
      </c>
      <c r="F346">
        <v>206.80999800000001</v>
      </c>
      <c r="G346">
        <v>17178900</v>
      </c>
      <c r="H346" s="2">
        <f t="shared" si="5"/>
        <v>8.3373571427394211E-3</v>
      </c>
      <c r="I346" s="2">
        <f>VLOOKUP(A346,AAPL!A:H,8,)</f>
        <v>6.1433968767989899E-3</v>
      </c>
    </row>
    <row r="347" spans="1:9" x14ac:dyDescent="0.35">
      <c r="A347" s="1">
        <v>43966</v>
      </c>
      <c r="B347">
        <v>205.270004</v>
      </c>
      <c r="C347">
        <v>211.33999600000001</v>
      </c>
      <c r="D347">
        <v>204.11999499999999</v>
      </c>
      <c r="E347">
        <v>210.88000500000001</v>
      </c>
      <c r="F347">
        <v>210.88000500000001</v>
      </c>
      <c r="G347">
        <v>19383200</v>
      </c>
      <c r="H347" s="2">
        <f t="shared" si="5"/>
        <v>1.9679933462404486E-2</v>
      </c>
      <c r="I347" s="2">
        <f>VLOOKUP(A347,AAPL!A:H,8,)</f>
        <v>-5.9120499861200493E-3</v>
      </c>
    </row>
    <row r="348" spans="1:9" x14ac:dyDescent="0.35">
      <c r="A348" s="1">
        <v>43969</v>
      </c>
      <c r="B348">
        <v>212.14999399999999</v>
      </c>
      <c r="C348">
        <v>214.63999899999999</v>
      </c>
      <c r="D348">
        <v>210.94000199999999</v>
      </c>
      <c r="E348">
        <v>213.19000199999999</v>
      </c>
      <c r="F348">
        <v>213.19000199999999</v>
      </c>
      <c r="G348">
        <v>20151900</v>
      </c>
      <c r="H348" s="2">
        <f t="shared" si="5"/>
        <v>1.0954082631020379E-2</v>
      </c>
      <c r="I348" s="2">
        <f>VLOOKUP(A348,AAPL!A:H,8,)</f>
        <v>2.3561145846703546E-2</v>
      </c>
    </row>
    <row r="349" spans="1:9" x14ac:dyDescent="0.35">
      <c r="A349" s="1">
        <v>43970</v>
      </c>
      <c r="B349">
        <v>213.270004</v>
      </c>
      <c r="C349">
        <v>220.490005</v>
      </c>
      <c r="D349">
        <v>212.83000200000001</v>
      </c>
      <c r="E349">
        <v>216.88000500000001</v>
      </c>
      <c r="F349">
        <v>216.88000500000001</v>
      </c>
      <c r="G349">
        <v>31843200</v>
      </c>
      <c r="H349" s="2">
        <f t="shared" si="5"/>
        <v>1.7308518060804801E-2</v>
      </c>
      <c r="I349" s="2">
        <f>VLOOKUP(A349,AAPL!A:H,8,)</f>
        <v>-5.7784355036432089E-3</v>
      </c>
    </row>
    <row r="350" spans="1:9" x14ac:dyDescent="0.35">
      <c r="A350" s="1">
        <v>43971</v>
      </c>
      <c r="B350">
        <v>223.5</v>
      </c>
      <c r="C350">
        <v>231.33999600000001</v>
      </c>
      <c r="D350">
        <v>223.19000199999999</v>
      </c>
      <c r="E350">
        <v>229.970001</v>
      </c>
      <c r="F350">
        <v>229.970001</v>
      </c>
      <c r="G350">
        <v>50162900</v>
      </c>
      <c r="H350" s="2">
        <f t="shared" si="5"/>
        <v>6.0355937376523006E-2</v>
      </c>
      <c r="I350" s="2">
        <f>VLOOKUP(A350,AAPL!A:H,8,)</f>
        <v>1.9448156379988202E-2</v>
      </c>
    </row>
    <row r="351" spans="1:9" x14ac:dyDescent="0.35">
      <c r="A351" s="1">
        <v>43972</v>
      </c>
      <c r="B351">
        <v>234.720001</v>
      </c>
      <c r="C351">
        <v>237.199997</v>
      </c>
      <c r="D351">
        <v>231.199997</v>
      </c>
      <c r="E351">
        <v>231.38999899999999</v>
      </c>
      <c r="F351">
        <v>231.38999899999999</v>
      </c>
      <c r="G351">
        <v>47782600</v>
      </c>
      <c r="H351" s="2">
        <f t="shared" si="5"/>
        <v>6.1747097178992405E-3</v>
      </c>
      <c r="I351" s="2">
        <f>VLOOKUP(A351,AAPL!A:H,8,)</f>
        <v>-7.4554519015586074E-3</v>
      </c>
    </row>
    <row r="352" spans="1:9" x14ac:dyDescent="0.35">
      <c r="A352" s="1">
        <v>43973</v>
      </c>
      <c r="B352">
        <v>231.509995</v>
      </c>
      <c r="C352">
        <v>235.990005</v>
      </c>
      <c r="D352">
        <v>228.740005</v>
      </c>
      <c r="E352">
        <v>234.91000399999999</v>
      </c>
      <c r="F352">
        <v>234.91000399999999</v>
      </c>
      <c r="G352">
        <v>33925600</v>
      </c>
      <c r="H352" s="2">
        <f t="shared" si="5"/>
        <v>1.52124336194841E-2</v>
      </c>
      <c r="I352" s="2">
        <f>VLOOKUP(A352,AAPL!A:H,8,)</f>
        <v>6.4384028672646032E-3</v>
      </c>
    </row>
    <row r="353" spans="1:9" x14ac:dyDescent="0.35">
      <c r="A353" s="1">
        <v>43977</v>
      </c>
      <c r="B353">
        <v>239.770004</v>
      </c>
      <c r="C353">
        <v>240.89999399999999</v>
      </c>
      <c r="D353">
        <v>231.66999799999999</v>
      </c>
      <c r="E353">
        <v>232.199997</v>
      </c>
      <c r="F353">
        <v>232.199997</v>
      </c>
      <c r="G353">
        <v>33178300</v>
      </c>
      <c r="H353" s="2">
        <f t="shared" si="5"/>
        <v>-1.1536362665933941E-2</v>
      </c>
      <c r="I353" s="2">
        <f>VLOOKUP(A353,AAPL!A:H,8,)</f>
        <v>-6.7735077663892973E-3</v>
      </c>
    </row>
    <row r="354" spans="1:9" x14ac:dyDescent="0.35">
      <c r="A354" s="1">
        <v>43978</v>
      </c>
      <c r="B354">
        <v>229.070007</v>
      </c>
      <c r="C354">
        <v>230.55999800000001</v>
      </c>
      <c r="D354">
        <v>221.13000500000001</v>
      </c>
      <c r="E354">
        <v>229.13999899999999</v>
      </c>
      <c r="F354">
        <v>229.13999899999999</v>
      </c>
      <c r="G354">
        <v>34697600</v>
      </c>
      <c r="H354" s="2">
        <f t="shared" si="5"/>
        <v>-1.3178286130641093E-2</v>
      </c>
      <c r="I354" s="2">
        <f>VLOOKUP(A354,AAPL!A:H,8,)</f>
        <v>4.356934763731779E-3</v>
      </c>
    </row>
    <row r="355" spans="1:9" x14ac:dyDescent="0.35">
      <c r="A355" s="1">
        <v>43979</v>
      </c>
      <c r="B355">
        <v>224.300003</v>
      </c>
      <c r="C355">
        <v>231.63000500000001</v>
      </c>
      <c r="D355">
        <v>224</v>
      </c>
      <c r="E355">
        <v>225.46000699999999</v>
      </c>
      <c r="F355">
        <v>225.46000699999999</v>
      </c>
      <c r="G355">
        <v>29377200</v>
      </c>
      <c r="H355" s="2">
        <f t="shared" si="5"/>
        <v>-1.6060015781007353E-2</v>
      </c>
      <c r="I355" s="2">
        <f>VLOOKUP(A355,AAPL!A:H,8,)</f>
        <v>4.4014965591276933E-4</v>
      </c>
    </row>
    <row r="356" spans="1:9" x14ac:dyDescent="0.35">
      <c r="A356" s="1">
        <v>43980</v>
      </c>
      <c r="B356">
        <v>225.199997</v>
      </c>
      <c r="C356">
        <v>227.490005</v>
      </c>
      <c r="D356">
        <v>222.88000500000001</v>
      </c>
      <c r="E356">
        <v>225.08999600000001</v>
      </c>
      <c r="F356">
        <v>225.08999600000001</v>
      </c>
      <c r="G356">
        <v>23241500</v>
      </c>
      <c r="H356" s="2">
        <f t="shared" si="5"/>
        <v>-1.6411380666726538E-3</v>
      </c>
      <c r="I356" s="2">
        <f>VLOOKUP(A356,AAPL!A:H,8,)</f>
        <v>-9.740644147683275E-4</v>
      </c>
    </row>
    <row r="357" spans="1:9" x14ac:dyDescent="0.35">
      <c r="A357" s="1">
        <v>43983</v>
      </c>
      <c r="B357">
        <v>224.58999600000001</v>
      </c>
      <c r="C357">
        <v>232.44000199999999</v>
      </c>
      <c r="D357">
        <v>223.5</v>
      </c>
      <c r="E357">
        <v>231.91000399999999</v>
      </c>
      <c r="F357">
        <v>231.91000399999999</v>
      </c>
      <c r="G357">
        <v>18223800</v>
      </c>
      <c r="H357" s="2">
        <f t="shared" si="5"/>
        <v>3.0299027594278272E-2</v>
      </c>
      <c r="I357" s="2">
        <f>VLOOKUP(A357,AAPL!A:H,8,)</f>
        <v>1.2297930272404445E-2</v>
      </c>
    </row>
    <row r="358" spans="1:9" x14ac:dyDescent="0.35">
      <c r="A358" s="1">
        <v>43984</v>
      </c>
      <c r="B358">
        <v>230.94000199999999</v>
      </c>
      <c r="C358">
        <v>233</v>
      </c>
      <c r="D358">
        <v>226.55999800000001</v>
      </c>
      <c r="E358">
        <v>232.720001</v>
      </c>
      <c r="F358">
        <v>232.720001</v>
      </c>
      <c r="G358">
        <v>20919000</v>
      </c>
      <c r="H358" s="2">
        <f t="shared" si="5"/>
        <v>3.4927212540603048E-3</v>
      </c>
      <c r="I358" s="2">
        <f>VLOOKUP(A358,AAPL!A:H,8,)</f>
        <v>4.6294483857833857E-3</v>
      </c>
    </row>
    <row r="359" spans="1:9" x14ac:dyDescent="0.35">
      <c r="A359" s="1">
        <v>43985</v>
      </c>
      <c r="B359">
        <v>232.11000100000001</v>
      </c>
      <c r="C359">
        <v>232.64999399999999</v>
      </c>
      <c r="D359">
        <v>228.529999</v>
      </c>
      <c r="E359">
        <v>230.16000399999999</v>
      </c>
      <c r="F359">
        <v>230.16000399999999</v>
      </c>
      <c r="G359">
        <v>15380300</v>
      </c>
      <c r="H359" s="2">
        <f t="shared" si="5"/>
        <v>-1.1000330822446225E-2</v>
      </c>
      <c r="I359" s="2">
        <f>VLOOKUP(A359,AAPL!A:H,8,)</f>
        <v>5.5050412012747074E-3</v>
      </c>
    </row>
    <row r="360" spans="1:9" x14ac:dyDescent="0.35">
      <c r="A360" s="1">
        <v>43986</v>
      </c>
      <c r="B360">
        <v>229.55999800000001</v>
      </c>
      <c r="C360">
        <v>231.63000500000001</v>
      </c>
      <c r="D360">
        <v>224.61000100000001</v>
      </c>
      <c r="E360">
        <v>226.28999300000001</v>
      </c>
      <c r="F360">
        <v>226.28999300000001</v>
      </c>
      <c r="G360">
        <v>17041500</v>
      </c>
      <c r="H360" s="2">
        <f t="shared" si="5"/>
        <v>-1.6814437490190404E-2</v>
      </c>
      <c r="I360" s="2">
        <f>VLOOKUP(A360,AAPL!A:H,8,)</f>
        <v>-8.6121679209175683E-3</v>
      </c>
    </row>
    <row r="361" spans="1:9" x14ac:dyDescent="0.35">
      <c r="A361" s="1">
        <v>43987</v>
      </c>
      <c r="B361">
        <v>226.71000699999999</v>
      </c>
      <c r="C361">
        <v>231.35000600000001</v>
      </c>
      <c r="D361">
        <v>225.30999800000001</v>
      </c>
      <c r="E361">
        <v>230.770004</v>
      </c>
      <c r="F361">
        <v>230.770004</v>
      </c>
      <c r="G361">
        <v>16750400</v>
      </c>
      <c r="H361" s="2">
        <f t="shared" si="5"/>
        <v>1.97976540659488E-2</v>
      </c>
      <c r="I361" s="2">
        <f>VLOOKUP(A361,AAPL!A:H,8,)</f>
        <v>2.8480987131273672E-2</v>
      </c>
    </row>
    <row r="362" spans="1:9" x14ac:dyDescent="0.35">
      <c r="A362" s="1">
        <v>43990</v>
      </c>
      <c r="B362">
        <v>229.029999</v>
      </c>
      <c r="C362">
        <v>231.550003</v>
      </c>
      <c r="D362">
        <v>227.41000399999999</v>
      </c>
      <c r="E362">
        <v>231.39999399999999</v>
      </c>
      <c r="F362">
        <v>231.39999399999999</v>
      </c>
      <c r="G362">
        <v>15466500</v>
      </c>
      <c r="H362" s="2">
        <f t="shared" si="5"/>
        <v>2.7299475195223799E-3</v>
      </c>
      <c r="I362" s="2">
        <f>VLOOKUP(A362,AAPL!A:H,8,)</f>
        <v>5.9124947209652223E-3</v>
      </c>
    </row>
    <row r="363" spans="1:9" x14ac:dyDescent="0.35">
      <c r="A363" s="1">
        <v>43991</v>
      </c>
      <c r="B363">
        <v>231.520004</v>
      </c>
      <c r="C363">
        <v>239.770004</v>
      </c>
      <c r="D363">
        <v>230.41000399999999</v>
      </c>
      <c r="E363">
        <v>238.66999799999999</v>
      </c>
      <c r="F363">
        <v>238.66999799999999</v>
      </c>
      <c r="G363">
        <v>27462900</v>
      </c>
      <c r="H363" s="2">
        <f t="shared" si="5"/>
        <v>3.1417477046261189E-2</v>
      </c>
      <c r="I363" s="2">
        <f>VLOOKUP(A363,AAPL!A:H,8,)</f>
        <v>3.1578001117447352E-2</v>
      </c>
    </row>
    <row r="364" spans="1:9" x14ac:dyDescent="0.35">
      <c r="A364" s="1">
        <v>43992</v>
      </c>
      <c r="B364">
        <v>240.96000699999999</v>
      </c>
      <c r="C364">
        <v>241.21000699999999</v>
      </c>
      <c r="D364">
        <v>235.279999</v>
      </c>
      <c r="E364">
        <v>236.729996</v>
      </c>
      <c r="F364">
        <v>236.729996</v>
      </c>
      <c r="G364">
        <v>20720700</v>
      </c>
      <c r="H364" s="2">
        <f t="shared" si="5"/>
        <v>-8.1283865431631686E-3</v>
      </c>
      <c r="I364" s="2">
        <f>VLOOKUP(A364,AAPL!A:H,8,)</f>
        <v>2.5727504304834614E-2</v>
      </c>
    </row>
    <row r="365" spans="1:9" x14ac:dyDescent="0.35">
      <c r="A365" s="1">
        <v>43993</v>
      </c>
      <c r="B365">
        <v>229.94000199999999</v>
      </c>
      <c r="C365">
        <v>232.88999899999999</v>
      </c>
      <c r="D365">
        <v>223.550003</v>
      </c>
      <c r="E365">
        <v>224.429993</v>
      </c>
      <c r="F365">
        <v>224.429993</v>
      </c>
      <c r="G365">
        <v>26708200</v>
      </c>
      <c r="H365" s="2">
        <f t="shared" si="5"/>
        <v>-5.195794030258849E-2</v>
      </c>
      <c r="I365" s="2">
        <f>VLOOKUP(A365,AAPL!A:H,8,)</f>
        <v>-4.8010441537359005E-2</v>
      </c>
    </row>
    <row r="366" spans="1:9" x14ac:dyDescent="0.35">
      <c r="A366" s="1">
        <v>43994</v>
      </c>
      <c r="B366">
        <v>229.89999399999999</v>
      </c>
      <c r="C366">
        <v>231.66000399999999</v>
      </c>
      <c r="D366">
        <v>224.5</v>
      </c>
      <c r="E366">
        <v>228.58000200000001</v>
      </c>
      <c r="F366">
        <v>228.58000200000001</v>
      </c>
      <c r="G366">
        <v>22091400</v>
      </c>
      <c r="H366" s="2">
        <f t="shared" si="5"/>
        <v>1.8491329721691985E-2</v>
      </c>
      <c r="I366" s="2">
        <f>VLOOKUP(A366,AAPL!A:H,8,)</f>
        <v>8.6335101788272972E-3</v>
      </c>
    </row>
    <row r="367" spans="1:9" x14ac:dyDescent="0.35">
      <c r="A367" s="1">
        <v>43997</v>
      </c>
      <c r="B367">
        <v>225.08999600000001</v>
      </c>
      <c r="C367">
        <v>233.770004</v>
      </c>
      <c r="D367">
        <v>224.800003</v>
      </c>
      <c r="E367">
        <v>232.5</v>
      </c>
      <c r="F367">
        <v>232.5</v>
      </c>
      <c r="G367">
        <v>15340300</v>
      </c>
      <c r="H367" s="2">
        <f t="shared" si="5"/>
        <v>1.7149347999393161E-2</v>
      </c>
      <c r="I367" s="2">
        <f>VLOOKUP(A367,AAPL!A:H,8,)</f>
        <v>1.2367190520679694E-2</v>
      </c>
    </row>
    <row r="368" spans="1:9" x14ac:dyDescent="0.35">
      <c r="A368" s="1">
        <v>43998</v>
      </c>
      <c r="B368">
        <v>237.13999899999999</v>
      </c>
      <c r="C368">
        <v>238.46000699999999</v>
      </c>
      <c r="D368">
        <v>233</v>
      </c>
      <c r="E368">
        <v>235.64999399999999</v>
      </c>
      <c r="F368">
        <v>235.64999399999999</v>
      </c>
      <c r="G368">
        <v>15236700</v>
      </c>
      <c r="H368" s="2">
        <f t="shared" si="5"/>
        <v>1.3548361290322442E-2</v>
      </c>
      <c r="I368" s="2">
        <f>VLOOKUP(A368,AAPL!A:H,8,)</f>
        <v>2.6502219341723698E-2</v>
      </c>
    </row>
    <row r="369" spans="1:9" x14ac:dyDescent="0.35">
      <c r="A369" s="1">
        <v>43999</v>
      </c>
      <c r="B369">
        <v>235</v>
      </c>
      <c r="C369">
        <v>237.58999600000001</v>
      </c>
      <c r="D369">
        <v>231.729996</v>
      </c>
      <c r="E369">
        <v>235.529999</v>
      </c>
      <c r="F369">
        <v>235.529999</v>
      </c>
      <c r="G369">
        <v>19578100</v>
      </c>
      <c r="H369" s="2">
        <f t="shared" si="5"/>
        <v>-5.0920858499992061E-4</v>
      </c>
      <c r="I369" s="2">
        <f>VLOOKUP(A369,AAPL!A:H,8,)</f>
        <v>-1.3917064777906329E-3</v>
      </c>
    </row>
    <row r="370" spans="1:9" x14ac:dyDescent="0.35">
      <c r="A370" s="1">
        <v>44000</v>
      </c>
      <c r="B370">
        <v>234.990005</v>
      </c>
      <c r="C370">
        <v>236.13999899999999</v>
      </c>
      <c r="D370">
        <v>232.14999399999999</v>
      </c>
      <c r="E370">
        <v>235.94000199999999</v>
      </c>
      <c r="F370">
        <v>235.94000199999999</v>
      </c>
      <c r="G370">
        <v>15782500</v>
      </c>
      <c r="H370" s="2">
        <f t="shared" si="5"/>
        <v>1.7407676378413672E-3</v>
      </c>
      <c r="I370" s="2">
        <f>VLOOKUP(A370,AAPL!A:H,8,)</f>
        <v>3.9823658691351405E-4</v>
      </c>
    </row>
    <row r="371" spans="1:9" x14ac:dyDescent="0.35">
      <c r="A371" s="1">
        <v>44001</v>
      </c>
      <c r="B371">
        <v>237.78999300000001</v>
      </c>
      <c r="C371">
        <v>240.83000200000001</v>
      </c>
      <c r="D371">
        <v>235.550003</v>
      </c>
      <c r="E371">
        <v>238.78999300000001</v>
      </c>
      <c r="F371">
        <v>238.78999300000001</v>
      </c>
      <c r="G371">
        <v>30081300</v>
      </c>
      <c r="H371" s="2">
        <f t="shared" si="5"/>
        <v>1.2079303957961418E-2</v>
      </c>
      <c r="I371" s="2">
        <f>VLOOKUP(A371,AAPL!A:H,8,)</f>
        <v>-5.7146445609536078E-3</v>
      </c>
    </row>
    <row r="372" spans="1:9" x14ac:dyDescent="0.35">
      <c r="A372" s="1">
        <v>44004</v>
      </c>
      <c r="B372">
        <v>238.55999800000001</v>
      </c>
      <c r="C372">
        <v>240.699997</v>
      </c>
      <c r="D372">
        <v>236.91000399999999</v>
      </c>
      <c r="E372">
        <v>239.220001</v>
      </c>
      <c r="F372">
        <v>239.220001</v>
      </c>
      <c r="G372">
        <v>18917800</v>
      </c>
      <c r="H372" s="2">
        <f t="shared" si="5"/>
        <v>1.8007789798795137E-3</v>
      </c>
      <c r="I372" s="2">
        <f>VLOOKUP(A372,AAPL!A:H,8,)</f>
        <v>2.616377673567416E-2</v>
      </c>
    </row>
    <row r="373" spans="1:9" x14ac:dyDescent="0.35">
      <c r="A373" s="1">
        <v>44005</v>
      </c>
      <c r="B373">
        <v>241.279999</v>
      </c>
      <c r="C373">
        <v>245.19000199999999</v>
      </c>
      <c r="D373">
        <v>239.86000100000001</v>
      </c>
      <c r="E373">
        <v>242.240005</v>
      </c>
      <c r="F373">
        <v>242.240005</v>
      </c>
      <c r="G373">
        <v>24017900</v>
      </c>
      <c r="H373" s="2">
        <f t="shared" si="5"/>
        <v>1.262437917973247E-2</v>
      </c>
      <c r="I373" s="2">
        <f>VLOOKUP(A373,AAPL!A:H,8,)</f>
        <v>2.1344788044080243E-2</v>
      </c>
    </row>
    <row r="374" spans="1:9" x14ac:dyDescent="0.35">
      <c r="A374" s="1">
        <v>44006</v>
      </c>
      <c r="B374">
        <v>241.199997</v>
      </c>
      <c r="C374">
        <v>243.220001</v>
      </c>
      <c r="D374">
        <v>232.679993</v>
      </c>
      <c r="E374">
        <v>234.020004</v>
      </c>
      <c r="F374">
        <v>234.020004</v>
      </c>
      <c r="G374">
        <v>20834900</v>
      </c>
      <c r="H374" s="2">
        <f t="shared" si="5"/>
        <v>-3.3933292727598818E-2</v>
      </c>
      <c r="I374" s="2">
        <f>VLOOKUP(A374,AAPL!A:H,8,)</f>
        <v>-1.7652044853081472E-2</v>
      </c>
    </row>
    <row r="375" spans="1:9" x14ac:dyDescent="0.35">
      <c r="A375" s="1">
        <v>44007</v>
      </c>
      <c r="B375">
        <v>234.61999499999999</v>
      </c>
      <c r="C375">
        <v>237.300003</v>
      </c>
      <c r="D375">
        <v>232.740005</v>
      </c>
      <c r="E375">
        <v>235.679993</v>
      </c>
      <c r="F375">
        <v>235.679993</v>
      </c>
      <c r="G375">
        <v>18704300</v>
      </c>
      <c r="H375" s="2">
        <f t="shared" si="5"/>
        <v>7.0933636938148581E-3</v>
      </c>
      <c r="I375" s="2">
        <f>VLOOKUP(A375,AAPL!A:H,8,)</f>
        <v>1.3275565331062111E-2</v>
      </c>
    </row>
    <row r="376" spans="1:9" x14ac:dyDescent="0.35">
      <c r="A376" s="1">
        <v>44008</v>
      </c>
      <c r="B376">
        <v>232.63999899999999</v>
      </c>
      <c r="C376">
        <v>233.08999600000001</v>
      </c>
      <c r="D376">
        <v>215.39999399999999</v>
      </c>
      <c r="E376">
        <v>216.08000200000001</v>
      </c>
      <c r="F376">
        <v>216.08000200000001</v>
      </c>
      <c r="G376">
        <v>76343900</v>
      </c>
      <c r="H376" s="2">
        <f t="shared" si="5"/>
        <v>-8.3163575959542713E-2</v>
      </c>
      <c r="I376" s="2">
        <f>VLOOKUP(A376,AAPL!A:H,8,)</f>
        <v>-3.0725776019359441E-2</v>
      </c>
    </row>
    <row r="377" spans="1:9" x14ac:dyDescent="0.35">
      <c r="A377" s="1">
        <v>44011</v>
      </c>
      <c r="B377">
        <v>209.75</v>
      </c>
      <c r="C377">
        <v>220.75</v>
      </c>
      <c r="D377">
        <v>207.11000100000001</v>
      </c>
      <c r="E377">
        <v>220.63999899999999</v>
      </c>
      <c r="F377">
        <v>220.63999899999999</v>
      </c>
      <c r="G377">
        <v>58514300</v>
      </c>
      <c r="H377" s="2">
        <f t="shared" si="5"/>
        <v>2.1103280996822571E-2</v>
      </c>
      <c r="I377" s="2">
        <f>VLOOKUP(A377,AAPL!A:H,8,)</f>
        <v>2.304667564350682E-2</v>
      </c>
    </row>
    <row r="378" spans="1:9" x14ac:dyDescent="0.35">
      <c r="A378" s="1">
        <v>44012</v>
      </c>
      <c r="B378">
        <v>220.58999600000001</v>
      </c>
      <c r="C378">
        <v>227.5</v>
      </c>
      <c r="D378">
        <v>218.470001</v>
      </c>
      <c r="E378">
        <v>227.070007</v>
      </c>
      <c r="F378">
        <v>227.070007</v>
      </c>
      <c r="G378">
        <v>33927100</v>
      </c>
      <c r="H378" s="2">
        <f t="shared" si="5"/>
        <v>2.914253095151631E-2</v>
      </c>
      <c r="I378" s="2">
        <f>VLOOKUP(A378,AAPL!A:H,8,)</f>
        <v>8.3475814030626871E-3</v>
      </c>
    </row>
    <row r="379" spans="1:9" x14ac:dyDescent="0.35">
      <c r="A379" s="1">
        <v>44013</v>
      </c>
      <c r="B379">
        <v>228.5</v>
      </c>
      <c r="C379">
        <v>239</v>
      </c>
      <c r="D379">
        <v>227.55999800000001</v>
      </c>
      <c r="E379">
        <v>237.550003</v>
      </c>
      <c r="F379">
        <v>237.550003</v>
      </c>
      <c r="G379">
        <v>43399700</v>
      </c>
      <c r="H379" s="2">
        <f t="shared" si="5"/>
        <v>4.6153149587915498E-2</v>
      </c>
      <c r="I379" s="2">
        <f>VLOOKUP(A379,AAPL!A:H,8,)</f>
        <v>-1.8914583955522701E-3</v>
      </c>
    </row>
    <row r="380" spans="1:9" x14ac:dyDescent="0.35">
      <c r="A380" s="1">
        <v>44014</v>
      </c>
      <c r="B380">
        <v>239</v>
      </c>
      <c r="C380">
        <v>240</v>
      </c>
      <c r="D380">
        <v>232.61000100000001</v>
      </c>
      <c r="E380">
        <v>233.41999799999999</v>
      </c>
      <c r="F380">
        <v>233.41999799999999</v>
      </c>
      <c r="G380">
        <v>30633600</v>
      </c>
      <c r="H380" s="2">
        <f t="shared" si="5"/>
        <v>-1.7385834341580808E-2</v>
      </c>
      <c r="I380" s="2">
        <f>VLOOKUP(A380,AAPL!A:H,8,)</f>
        <v>0</v>
      </c>
    </row>
    <row r="381" spans="1:9" x14ac:dyDescent="0.35">
      <c r="A381" s="1">
        <v>44018</v>
      </c>
      <c r="B381">
        <v>233.759995</v>
      </c>
      <c r="C381">
        <v>240.39999399999999</v>
      </c>
      <c r="D381">
        <v>232.270004</v>
      </c>
      <c r="E381">
        <v>240.279999</v>
      </c>
      <c r="F381">
        <v>240.279999</v>
      </c>
      <c r="G381">
        <v>26206200</v>
      </c>
      <c r="H381" s="2">
        <f t="shared" si="5"/>
        <v>2.938908859042999E-2</v>
      </c>
      <c r="I381" s="2">
        <f>VLOOKUP(A381,AAPL!A:H,8,)</f>
        <v>2.6750225008935757E-2</v>
      </c>
    </row>
    <row r="382" spans="1:9" x14ac:dyDescent="0.35">
      <c r="A382" s="1">
        <v>44019</v>
      </c>
      <c r="B382">
        <v>239.41000399999999</v>
      </c>
      <c r="C382">
        <v>247.64999399999999</v>
      </c>
      <c r="D382">
        <v>238.820007</v>
      </c>
      <c r="E382">
        <v>240.86000100000001</v>
      </c>
      <c r="F382">
        <v>240.86000100000001</v>
      </c>
      <c r="G382">
        <v>27887800</v>
      </c>
      <c r="H382" s="2">
        <f t="shared" si="5"/>
        <v>2.4138588414095441E-3</v>
      </c>
      <c r="I382" s="2">
        <f>VLOOKUP(A382,AAPL!A:H,8,)</f>
        <v>-3.1028593692046247E-3</v>
      </c>
    </row>
    <row r="383" spans="1:9" x14ac:dyDescent="0.35">
      <c r="A383" s="1">
        <v>44020</v>
      </c>
      <c r="B383">
        <v>238.11000100000001</v>
      </c>
      <c r="C383">
        <v>246.990005</v>
      </c>
      <c r="D383">
        <v>236.58999600000001</v>
      </c>
      <c r="E383">
        <v>243.58000200000001</v>
      </c>
      <c r="F383">
        <v>243.58000200000001</v>
      </c>
      <c r="G383">
        <v>29791300</v>
      </c>
      <c r="H383" s="2">
        <f t="shared" si="5"/>
        <v>1.1292871330678134E-2</v>
      </c>
      <c r="I383" s="2">
        <f>VLOOKUP(A383,AAPL!A:H,8,)</f>
        <v>2.3290112175909039E-2</v>
      </c>
    </row>
    <row r="384" spans="1:9" x14ac:dyDescent="0.35">
      <c r="A384" s="1">
        <v>44021</v>
      </c>
      <c r="B384">
        <v>245</v>
      </c>
      <c r="C384">
        <v>246.529999</v>
      </c>
      <c r="D384">
        <v>239.240005</v>
      </c>
      <c r="E384">
        <v>244.5</v>
      </c>
      <c r="F384">
        <v>244.5</v>
      </c>
      <c r="G384">
        <v>22174900</v>
      </c>
      <c r="H384" s="2">
        <f t="shared" si="5"/>
        <v>3.776984943123507E-3</v>
      </c>
      <c r="I384" s="2">
        <f>VLOOKUP(A384,AAPL!A:H,8,)</f>
        <v>4.3003173222888602E-3</v>
      </c>
    </row>
    <row r="385" spans="1:9" x14ac:dyDescent="0.35">
      <c r="A385" s="1">
        <v>44022</v>
      </c>
      <c r="B385">
        <v>243.69000199999999</v>
      </c>
      <c r="C385">
        <v>245.490005</v>
      </c>
      <c r="D385">
        <v>239.320007</v>
      </c>
      <c r="E385">
        <v>245.070007</v>
      </c>
      <c r="F385">
        <v>245.070007</v>
      </c>
      <c r="G385">
        <v>22982700</v>
      </c>
      <c r="H385" s="2">
        <f t="shared" si="5"/>
        <v>2.331316973415154E-3</v>
      </c>
      <c r="I385" s="2">
        <f>VLOOKUP(A385,AAPL!A:H,8,)</f>
        <v>1.7492597739117155E-3</v>
      </c>
    </row>
    <row r="386" spans="1:9" x14ac:dyDescent="0.35">
      <c r="A386" s="1">
        <v>44025</v>
      </c>
      <c r="B386">
        <v>247.009995</v>
      </c>
      <c r="C386">
        <v>250.14999399999999</v>
      </c>
      <c r="D386">
        <v>238.41999799999999</v>
      </c>
      <c r="E386">
        <v>239</v>
      </c>
      <c r="F386">
        <v>239</v>
      </c>
      <c r="G386">
        <v>24674900</v>
      </c>
      <c r="H386" s="2">
        <f t="shared" si="5"/>
        <v>-2.4768461364592875E-2</v>
      </c>
      <c r="I386" s="2">
        <f>VLOOKUP(A386,AAPL!A:H,8,)</f>
        <v>-4.6131881695827825E-3</v>
      </c>
    </row>
    <row r="387" spans="1:9" x14ac:dyDescent="0.35">
      <c r="A387" s="1">
        <v>44026</v>
      </c>
      <c r="B387">
        <v>236.759995</v>
      </c>
      <c r="C387">
        <v>240.33000200000001</v>
      </c>
      <c r="D387">
        <v>232.029999</v>
      </c>
      <c r="E387">
        <v>239.729996</v>
      </c>
      <c r="F387">
        <v>239.729996</v>
      </c>
      <c r="G387">
        <v>23378100</v>
      </c>
      <c r="H387" s="2">
        <f t="shared" si="5"/>
        <v>3.0543765690376201E-3</v>
      </c>
      <c r="I387" s="2">
        <f>VLOOKUP(A387,AAPL!A:H,8,)</f>
        <v>1.6548422229861082E-2</v>
      </c>
    </row>
    <row r="388" spans="1:9" x14ac:dyDescent="0.35">
      <c r="A388" s="1">
        <v>44027</v>
      </c>
      <c r="B388">
        <v>241.550003</v>
      </c>
      <c r="C388">
        <v>244.820007</v>
      </c>
      <c r="D388">
        <v>238.050003</v>
      </c>
      <c r="E388">
        <v>240.279999</v>
      </c>
      <c r="F388">
        <v>240.279999</v>
      </c>
      <c r="G388">
        <v>19133600</v>
      </c>
      <c r="H388" s="2">
        <f t="shared" ref="H388:H451" si="6">E388/E387-1</f>
        <v>2.2942602476829776E-3</v>
      </c>
      <c r="I388" s="2">
        <f>VLOOKUP(A388,AAPL!A:H,8,)</f>
        <v>6.8773147811149737E-3</v>
      </c>
    </row>
    <row r="389" spans="1:9" x14ac:dyDescent="0.35">
      <c r="A389" s="1">
        <v>44028</v>
      </c>
      <c r="B389">
        <v>238</v>
      </c>
      <c r="C389">
        <v>241.759995</v>
      </c>
      <c r="D389">
        <v>236.33000200000001</v>
      </c>
      <c r="E389">
        <v>240.929993</v>
      </c>
      <c r="F389">
        <v>240.929993</v>
      </c>
      <c r="G389">
        <v>18880700</v>
      </c>
      <c r="H389" s="2">
        <f t="shared" si="6"/>
        <v>2.7051523335490657E-3</v>
      </c>
      <c r="I389" s="2">
        <f>VLOOKUP(A389,AAPL!A:H,8,)</f>
        <v>-1.2304927343155359E-2</v>
      </c>
    </row>
    <row r="390" spans="1:9" x14ac:dyDescent="0.35">
      <c r="A390" s="1">
        <v>44029</v>
      </c>
      <c r="B390">
        <v>241</v>
      </c>
      <c r="C390">
        <v>244.16000399999999</v>
      </c>
      <c r="D390">
        <v>237.86000100000001</v>
      </c>
      <c r="E390">
        <v>242.029999</v>
      </c>
      <c r="F390">
        <v>242.029999</v>
      </c>
      <c r="G390">
        <v>18152400</v>
      </c>
      <c r="H390" s="2">
        <f t="shared" si="6"/>
        <v>4.5656665087772108E-3</v>
      </c>
      <c r="I390" s="2">
        <f>VLOOKUP(A390,AAPL!A:H,8,)</f>
        <v>-2.0202543657722449E-3</v>
      </c>
    </row>
    <row r="391" spans="1:9" x14ac:dyDescent="0.35">
      <c r="A391" s="1">
        <v>44032</v>
      </c>
      <c r="B391">
        <v>240.05999800000001</v>
      </c>
      <c r="C391">
        <v>246.050003</v>
      </c>
      <c r="D391">
        <v>235.63999899999999</v>
      </c>
      <c r="E391">
        <v>245.41999799999999</v>
      </c>
      <c r="F391">
        <v>245.41999799999999</v>
      </c>
      <c r="G391">
        <v>20872200</v>
      </c>
      <c r="H391" s="2">
        <f t="shared" si="6"/>
        <v>1.4006524042500912E-2</v>
      </c>
      <c r="I391" s="2">
        <f>VLOOKUP(A391,AAPL!A:H,8,)</f>
        <v>2.1073930301045207E-2</v>
      </c>
    </row>
    <row r="392" spans="1:9" x14ac:dyDescent="0.35">
      <c r="A392" s="1">
        <v>44033</v>
      </c>
      <c r="B392">
        <v>246.220001</v>
      </c>
      <c r="C392">
        <v>246.91000399999999</v>
      </c>
      <c r="D392">
        <v>240.08000200000001</v>
      </c>
      <c r="E392">
        <v>241.75</v>
      </c>
      <c r="F392">
        <v>241.75</v>
      </c>
      <c r="G392">
        <v>19364200</v>
      </c>
      <c r="H392" s="2">
        <f t="shared" si="6"/>
        <v>-1.4953948455333266E-2</v>
      </c>
      <c r="I392" s="2">
        <f>VLOOKUP(A392,AAPL!A:H,8,)</f>
        <v>-1.3801672750968219E-2</v>
      </c>
    </row>
    <row r="393" spans="1:9" x14ac:dyDescent="0.35">
      <c r="A393" s="1">
        <v>44034</v>
      </c>
      <c r="B393">
        <v>240.259995</v>
      </c>
      <c r="C393">
        <v>241.89999399999999</v>
      </c>
      <c r="D393">
        <v>238.11999499999999</v>
      </c>
      <c r="E393">
        <v>239.86999499999999</v>
      </c>
      <c r="F393">
        <v>239.86999499999999</v>
      </c>
      <c r="G393">
        <v>15427900</v>
      </c>
      <c r="H393" s="2">
        <f t="shared" si="6"/>
        <v>-7.7766494312306866E-3</v>
      </c>
      <c r="I393" s="2">
        <f>VLOOKUP(A393,AAPL!A:H,8,)</f>
        <v>2.8092680412370452E-3</v>
      </c>
    </row>
    <row r="394" spans="1:9" x14ac:dyDescent="0.35">
      <c r="A394" s="1">
        <v>44035</v>
      </c>
      <c r="B394">
        <v>239.63000500000001</v>
      </c>
      <c r="C394">
        <v>242.41999799999999</v>
      </c>
      <c r="D394">
        <v>231.75</v>
      </c>
      <c r="E394">
        <v>232.60000600000001</v>
      </c>
      <c r="F394">
        <v>232.60000600000001</v>
      </c>
      <c r="G394">
        <v>21771800</v>
      </c>
      <c r="H394" s="2">
        <f t="shared" si="6"/>
        <v>-3.0308038318840103E-2</v>
      </c>
      <c r="I394" s="2">
        <f>VLOOKUP(A394,AAPL!A:H,8,)</f>
        <v>-4.5516441394190976E-2</v>
      </c>
    </row>
    <row r="395" spans="1:9" x14ac:dyDescent="0.35">
      <c r="A395" s="1">
        <v>44036</v>
      </c>
      <c r="B395">
        <v>230.19000199999999</v>
      </c>
      <c r="C395">
        <v>233.490005</v>
      </c>
      <c r="D395">
        <v>226.89999399999999</v>
      </c>
      <c r="E395">
        <v>230.71000699999999</v>
      </c>
      <c r="F395">
        <v>230.71000699999999</v>
      </c>
      <c r="G395">
        <v>18325800</v>
      </c>
      <c r="H395" s="2">
        <f t="shared" si="6"/>
        <v>-8.1255328944402905E-3</v>
      </c>
      <c r="I395" s="2">
        <f>VLOOKUP(A395,AAPL!A:H,8,)</f>
        <v>-2.4772793098466472E-3</v>
      </c>
    </row>
    <row r="396" spans="1:9" x14ac:dyDescent="0.35">
      <c r="A396" s="1">
        <v>44039</v>
      </c>
      <c r="B396">
        <v>231.46000699999999</v>
      </c>
      <c r="C396">
        <v>234.949997</v>
      </c>
      <c r="D396">
        <v>230.83000200000001</v>
      </c>
      <c r="E396">
        <v>233.5</v>
      </c>
      <c r="F396">
        <v>233.5</v>
      </c>
      <c r="G396">
        <v>13163100</v>
      </c>
      <c r="H396" s="2">
        <f t="shared" si="6"/>
        <v>1.2093073188628622E-2</v>
      </c>
      <c r="I396" s="2">
        <f>VLOOKUP(A396,AAPL!A:H,8,)</f>
        <v>2.3700265047783997E-2</v>
      </c>
    </row>
    <row r="397" spans="1:9" x14ac:dyDescent="0.35">
      <c r="A397" s="1">
        <v>44040</v>
      </c>
      <c r="B397">
        <v>234.63000500000001</v>
      </c>
      <c r="C397">
        <v>234.96000699999999</v>
      </c>
      <c r="D397">
        <v>229.83000200000001</v>
      </c>
      <c r="E397">
        <v>230.11999499999999</v>
      </c>
      <c r="F397">
        <v>230.11999499999999</v>
      </c>
      <c r="G397">
        <v>14170100</v>
      </c>
      <c r="H397" s="2">
        <f t="shared" si="6"/>
        <v>-1.4475396145610331E-2</v>
      </c>
      <c r="I397" s="2">
        <f>VLOOKUP(A397,AAPL!A:H,8,)</f>
        <v>-1.6427550183051198E-2</v>
      </c>
    </row>
    <row r="398" spans="1:9" x14ac:dyDescent="0.35">
      <c r="A398" s="1">
        <v>44041</v>
      </c>
      <c r="B398">
        <v>231.13999899999999</v>
      </c>
      <c r="C398">
        <v>233.699997</v>
      </c>
      <c r="D398">
        <v>230.30999800000001</v>
      </c>
      <c r="E398">
        <v>233.28999300000001</v>
      </c>
      <c r="F398">
        <v>233.28999300000001</v>
      </c>
      <c r="G398">
        <v>13588300</v>
      </c>
      <c r="H398" s="2">
        <f t="shared" si="6"/>
        <v>1.377541312739905E-2</v>
      </c>
      <c r="I398" s="2">
        <f>VLOOKUP(A398,AAPL!A:H,8,)</f>
        <v>1.9168375771837054E-2</v>
      </c>
    </row>
    <row r="399" spans="1:9" x14ac:dyDescent="0.35">
      <c r="A399" s="1">
        <v>44042</v>
      </c>
      <c r="B399">
        <v>230.220001</v>
      </c>
      <c r="C399">
        <v>234.88999899999999</v>
      </c>
      <c r="D399">
        <v>229</v>
      </c>
      <c r="E399">
        <v>234.5</v>
      </c>
      <c r="F399">
        <v>234.5</v>
      </c>
      <c r="G399">
        <v>20615300</v>
      </c>
      <c r="H399" s="2">
        <f t="shared" si="6"/>
        <v>5.1867076870286688E-3</v>
      </c>
      <c r="I399" s="2">
        <f>VLOOKUP(A399,AAPL!A:H,8,)</f>
        <v>1.2100178744737233E-2</v>
      </c>
    </row>
    <row r="400" spans="1:9" x14ac:dyDescent="0.35">
      <c r="A400" s="1">
        <v>44043</v>
      </c>
      <c r="B400">
        <v>255.820007</v>
      </c>
      <c r="C400">
        <v>255.85000600000001</v>
      </c>
      <c r="D400">
        <v>249</v>
      </c>
      <c r="E400">
        <v>253.66999799999999</v>
      </c>
      <c r="F400">
        <v>253.66999799999999</v>
      </c>
      <c r="G400">
        <v>53005100</v>
      </c>
      <c r="H400" s="2">
        <f t="shared" si="6"/>
        <v>8.174839232409381E-2</v>
      </c>
      <c r="I400" s="2">
        <f>VLOOKUP(A400,AAPL!A:H,8,)</f>
        <v>0.10468863489575542</v>
      </c>
    </row>
    <row r="401" spans="1:9" x14ac:dyDescent="0.35">
      <c r="A401" s="1">
        <v>44046</v>
      </c>
      <c r="B401">
        <v>252.64999399999999</v>
      </c>
      <c r="C401">
        <v>255.39999399999999</v>
      </c>
      <c r="D401">
        <v>250.33000200000001</v>
      </c>
      <c r="E401">
        <v>251.96000699999999</v>
      </c>
      <c r="F401">
        <v>251.96000699999999</v>
      </c>
      <c r="G401">
        <v>23124900</v>
      </c>
      <c r="H401" s="2">
        <f t="shared" si="6"/>
        <v>-6.7410060846060382E-3</v>
      </c>
      <c r="I401" s="2">
        <f>VLOOKUP(A401,AAPL!A:H,8,)</f>
        <v>2.5197609162476819E-2</v>
      </c>
    </row>
    <row r="402" spans="1:9" x14ac:dyDescent="0.35">
      <c r="A402" s="1">
        <v>44047</v>
      </c>
      <c r="B402">
        <v>251.55999800000001</v>
      </c>
      <c r="C402">
        <v>252.800003</v>
      </c>
      <c r="D402">
        <v>247.429993</v>
      </c>
      <c r="E402">
        <v>249.83000200000001</v>
      </c>
      <c r="F402">
        <v>249.83000200000001</v>
      </c>
      <c r="G402">
        <v>17183500</v>
      </c>
      <c r="H402" s="2">
        <f t="shared" si="6"/>
        <v>-8.4537424227011382E-3</v>
      </c>
      <c r="I402" s="2">
        <f>VLOOKUP(A402,AAPL!A:H,8,)</f>
        <v>6.6781503155479705E-3</v>
      </c>
    </row>
    <row r="403" spans="1:9" x14ac:dyDescent="0.35">
      <c r="A403" s="1">
        <v>44048</v>
      </c>
      <c r="B403">
        <v>250.19000199999999</v>
      </c>
      <c r="C403">
        <v>252.270004</v>
      </c>
      <c r="D403">
        <v>247.770004</v>
      </c>
      <c r="E403">
        <v>249.11999499999999</v>
      </c>
      <c r="F403">
        <v>249.11999499999999</v>
      </c>
      <c r="G403">
        <v>13050100</v>
      </c>
      <c r="H403" s="2">
        <f t="shared" si="6"/>
        <v>-2.8419605104115231E-3</v>
      </c>
      <c r="I403" s="2">
        <f>VLOOKUP(A403,AAPL!A:H,8,)</f>
        <v>3.6246659953069749E-3</v>
      </c>
    </row>
    <row r="404" spans="1:9" x14ac:dyDescent="0.35">
      <c r="A404" s="1">
        <v>44049</v>
      </c>
      <c r="B404">
        <v>249.03999300000001</v>
      </c>
      <c r="C404">
        <v>266.60000600000001</v>
      </c>
      <c r="D404">
        <v>248.66999799999999</v>
      </c>
      <c r="E404">
        <v>265.27999899999998</v>
      </c>
      <c r="F404">
        <v>265.27999899999998</v>
      </c>
      <c r="G404">
        <v>45241600</v>
      </c>
      <c r="H404" s="2">
        <f t="shared" si="6"/>
        <v>6.4868353903105858E-2</v>
      </c>
      <c r="I404" s="2">
        <f>VLOOKUP(A404,AAPL!A:H,8,)</f>
        <v>3.4889231118682584E-2</v>
      </c>
    </row>
    <row r="405" spans="1:9" x14ac:dyDescent="0.35">
      <c r="A405" s="1">
        <v>44050</v>
      </c>
      <c r="B405">
        <v>264.07998700000002</v>
      </c>
      <c r="C405">
        <v>278.89001500000001</v>
      </c>
      <c r="D405">
        <v>263.42999300000002</v>
      </c>
      <c r="E405">
        <v>268.44000199999999</v>
      </c>
      <c r="F405">
        <v>268.44000199999999</v>
      </c>
      <c r="G405">
        <v>72766400</v>
      </c>
      <c r="H405" s="2">
        <f t="shared" si="6"/>
        <v>1.1911953452623525E-2</v>
      </c>
      <c r="I405" s="2">
        <f>VLOOKUP(A405,AAPL!A:H,8,)</f>
        <v>-2.4494572972307838E-2</v>
      </c>
    </row>
    <row r="406" spans="1:9" x14ac:dyDescent="0.35">
      <c r="A406" s="1">
        <v>44053</v>
      </c>
      <c r="B406">
        <v>268.040009</v>
      </c>
      <c r="C406">
        <v>273.85998499999999</v>
      </c>
      <c r="D406">
        <v>259.69000199999999</v>
      </c>
      <c r="E406">
        <v>263</v>
      </c>
      <c r="F406">
        <v>263</v>
      </c>
      <c r="G406">
        <v>30248800</v>
      </c>
      <c r="H406" s="2">
        <f t="shared" si="6"/>
        <v>-2.0265243478876149E-2</v>
      </c>
      <c r="I406" s="2">
        <f>VLOOKUP(A406,AAPL!A:H,8,)</f>
        <v>1.4534799922561348E-2</v>
      </c>
    </row>
    <row r="407" spans="1:9" x14ac:dyDescent="0.35">
      <c r="A407" s="1">
        <v>44054</v>
      </c>
      <c r="B407">
        <v>260.19000199999999</v>
      </c>
      <c r="C407">
        <v>265.92001299999998</v>
      </c>
      <c r="D407">
        <v>255.13000500000001</v>
      </c>
      <c r="E407">
        <v>256.13000499999998</v>
      </c>
      <c r="F407">
        <v>256.13000499999998</v>
      </c>
      <c r="G407">
        <v>28238300</v>
      </c>
      <c r="H407" s="2">
        <f t="shared" si="6"/>
        <v>-2.6121653992395522E-2</v>
      </c>
      <c r="I407" s="2">
        <f>VLOOKUP(A407,AAPL!A:H,8,)</f>
        <v>-2.9739868002573777E-2</v>
      </c>
    </row>
    <row r="408" spans="1:9" x14ac:dyDescent="0.35">
      <c r="A408" s="1">
        <v>44055</v>
      </c>
      <c r="B408">
        <v>258.97000100000002</v>
      </c>
      <c r="C408">
        <v>263.89999399999999</v>
      </c>
      <c r="D408">
        <v>258.10998499999999</v>
      </c>
      <c r="E408">
        <v>259.89001500000001</v>
      </c>
      <c r="F408">
        <v>259.89001500000001</v>
      </c>
      <c r="G408">
        <v>21415700</v>
      </c>
      <c r="H408" s="2">
        <f t="shared" si="6"/>
        <v>1.4680084045600283E-2</v>
      </c>
      <c r="I408" s="2">
        <f>VLOOKUP(A408,AAPL!A:H,8,)</f>
        <v>3.3234304000000048E-2</v>
      </c>
    </row>
    <row r="409" spans="1:9" x14ac:dyDescent="0.35">
      <c r="A409" s="1">
        <v>44056</v>
      </c>
      <c r="B409">
        <v>261.54998799999998</v>
      </c>
      <c r="C409">
        <v>265.16000400000001</v>
      </c>
      <c r="D409">
        <v>259.57000699999998</v>
      </c>
      <c r="E409">
        <v>261.29998799999998</v>
      </c>
      <c r="F409">
        <v>261.29998799999998</v>
      </c>
      <c r="G409">
        <v>17374000</v>
      </c>
      <c r="H409" s="2">
        <f t="shared" si="6"/>
        <v>5.4252680696484923E-3</v>
      </c>
      <c r="I409" s="2">
        <f>VLOOKUP(A409,AAPL!A:H,8,)</f>
        <v>1.769754857627559E-2</v>
      </c>
    </row>
    <row r="410" spans="1:9" x14ac:dyDescent="0.35">
      <c r="A410" s="1">
        <v>44057</v>
      </c>
      <c r="B410">
        <v>262.30999800000001</v>
      </c>
      <c r="C410">
        <v>262.64999399999999</v>
      </c>
      <c r="D410">
        <v>258.67999300000002</v>
      </c>
      <c r="E410">
        <v>261.23998999999998</v>
      </c>
      <c r="F410">
        <v>261.23998999999998</v>
      </c>
      <c r="G410">
        <v>14792700</v>
      </c>
      <c r="H410" s="2">
        <f t="shared" si="6"/>
        <v>-2.2961348165084772E-4</v>
      </c>
      <c r="I410" s="2">
        <f>VLOOKUP(A410,AAPL!A:H,8,)</f>
        <v>-8.9123552923686677E-4</v>
      </c>
    </row>
    <row r="411" spans="1:9" x14ac:dyDescent="0.35">
      <c r="A411" s="1">
        <v>44060</v>
      </c>
      <c r="B411">
        <v>262.5</v>
      </c>
      <c r="C411">
        <v>264.10000600000001</v>
      </c>
      <c r="D411">
        <v>259.39999399999999</v>
      </c>
      <c r="E411">
        <v>261.16000400000001</v>
      </c>
      <c r="F411">
        <v>261.16000400000001</v>
      </c>
      <c r="G411">
        <v>13351100</v>
      </c>
      <c r="H411" s="2">
        <f t="shared" si="6"/>
        <v>-3.0617823863787752E-4</v>
      </c>
      <c r="I411" s="2">
        <f>VLOOKUP(A411,AAPL!A:H,8,)</f>
        <v>-2.6108217252065469E-3</v>
      </c>
    </row>
    <row r="412" spans="1:9" x14ac:dyDescent="0.35">
      <c r="A412" s="1">
        <v>44061</v>
      </c>
      <c r="B412">
        <v>260.95001200000002</v>
      </c>
      <c r="C412">
        <v>265.14999399999999</v>
      </c>
      <c r="D412">
        <v>259.26001000000002</v>
      </c>
      <c r="E412">
        <v>262.33999599999999</v>
      </c>
      <c r="F412">
        <v>262.33999599999999</v>
      </c>
      <c r="G412">
        <v>18690400</v>
      </c>
      <c r="H412" s="2">
        <f t="shared" si="6"/>
        <v>4.5182722542767007E-3</v>
      </c>
      <c r="I412" s="2">
        <f>VLOOKUP(A412,AAPL!A:H,8,)</f>
        <v>8.3328055900844245E-3</v>
      </c>
    </row>
    <row r="413" spans="1:9" x14ac:dyDescent="0.35">
      <c r="A413" s="1">
        <v>44062</v>
      </c>
      <c r="B413">
        <v>261.39001500000001</v>
      </c>
      <c r="C413">
        <v>267.91000400000001</v>
      </c>
      <c r="D413">
        <v>261.35000600000001</v>
      </c>
      <c r="E413">
        <v>262.58999599999999</v>
      </c>
      <c r="F413">
        <v>262.58999599999999</v>
      </c>
      <c r="G413">
        <v>23291500</v>
      </c>
      <c r="H413" s="2">
        <f t="shared" si="6"/>
        <v>9.5296181982096329E-4</v>
      </c>
      <c r="I413" s="2">
        <f>VLOOKUP(A413,AAPL!A:H,8,)</f>
        <v>1.2547063277448256E-3</v>
      </c>
    </row>
    <row r="414" spans="1:9" x14ac:dyDescent="0.35">
      <c r="A414" s="1">
        <v>44063</v>
      </c>
      <c r="B414">
        <v>261.5</v>
      </c>
      <c r="C414">
        <v>269.63000499999998</v>
      </c>
      <c r="D414">
        <v>261.459991</v>
      </c>
      <c r="E414">
        <v>269.01001000000002</v>
      </c>
      <c r="F414">
        <v>269.01001000000002</v>
      </c>
      <c r="G414">
        <v>20299700</v>
      </c>
      <c r="H414" s="2">
        <f t="shared" si="6"/>
        <v>2.4448814112476791E-2</v>
      </c>
      <c r="I414" s="2">
        <f>VLOOKUP(A414,AAPL!A:H,8,)</f>
        <v>2.2189616633051745E-2</v>
      </c>
    </row>
    <row r="415" spans="1:9" x14ac:dyDescent="0.35">
      <c r="A415" s="1">
        <v>44064</v>
      </c>
      <c r="B415">
        <v>268.69000199999999</v>
      </c>
      <c r="C415">
        <v>270.48998999999998</v>
      </c>
      <c r="D415">
        <v>266.42001299999998</v>
      </c>
      <c r="E415">
        <v>267.01001000000002</v>
      </c>
      <c r="F415">
        <v>267.01001000000002</v>
      </c>
      <c r="G415">
        <v>15538600</v>
      </c>
      <c r="H415" s="2">
        <f t="shared" si="6"/>
        <v>-7.4346675798421247E-3</v>
      </c>
      <c r="I415" s="2">
        <f>VLOOKUP(A415,AAPL!A:H,8,)</f>
        <v>5.1532453155232139E-2</v>
      </c>
    </row>
    <row r="416" spans="1:9" x14ac:dyDescent="0.35">
      <c r="A416" s="1">
        <v>44067</v>
      </c>
      <c r="B416">
        <v>271.07000699999998</v>
      </c>
      <c r="C416">
        <v>277.25</v>
      </c>
      <c r="D416">
        <v>268.76998900000001</v>
      </c>
      <c r="E416">
        <v>271.39001500000001</v>
      </c>
      <c r="F416">
        <v>271.39001500000001</v>
      </c>
      <c r="G416">
        <v>23685600</v>
      </c>
      <c r="H416" s="2">
        <f t="shared" si="6"/>
        <v>1.640389811602927E-2</v>
      </c>
      <c r="I416" s="2">
        <f>VLOOKUP(A416,AAPL!A:H,8,)</f>
        <v>1.1960239319122712E-2</v>
      </c>
    </row>
    <row r="417" spans="1:9" x14ac:dyDescent="0.35">
      <c r="A417" s="1">
        <v>44068</v>
      </c>
      <c r="B417">
        <v>272.41000400000001</v>
      </c>
      <c r="C417">
        <v>283.08999599999999</v>
      </c>
      <c r="D417">
        <v>270.26001000000002</v>
      </c>
      <c r="E417">
        <v>280.82000699999998</v>
      </c>
      <c r="F417">
        <v>280.82000699999998</v>
      </c>
      <c r="G417">
        <v>42127200</v>
      </c>
      <c r="H417" s="2">
        <f t="shared" si="6"/>
        <v>3.4747011602471733E-2</v>
      </c>
      <c r="I417" s="2">
        <f>VLOOKUP(A417,AAPL!A:H,8,)</f>
        <v>-8.2037305397570925E-3</v>
      </c>
    </row>
    <row r="418" spans="1:9" x14ac:dyDescent="0.35">
      <c r="A418" s="1">
        <v>44069</v>
      </c>
      <c r="B418">
        <v>284</v>
      </c>
      <c r="C418">
        <v>304.67001299999998</v>
      </c>
      <c r="D418">
        <v>284</v>
      </c>
      <c r="E418">
        <v>303.91000400000001</v>
      </c>
      <c r="F418">
        <v>303.91000400000001</v>
      </c>
      <c r="G418">
        <v>69015200</v>
      </c>
      <c r="H418" s="2">
        <f t="shared" si="6"/>
        <v>8.2223475622946074E-2</v>
      </c>
      <c r="I418" s="2">
        <f>VLOOKUP(A418,AAPL!A:H,8,)</f>
        <v>1.3599055003381988E-2</v>
      </c>
    </row>
    <row r="419" spans="1:9" x14ac:dyDescent="0.35">
      <c r="A419" s="1">
        <v>44070</v>
      </c>
      <c r="B419">
        <v>300.16000400000001</v>
      </c>
      <c r="C419">
        <v>301.23001099999999</v>
      </c>
      <c r="D419">
        <v>292.01998900000001</v>
      </c>
      <c r="E419">
        <v>293.22000100000002</v>
      </c>
      <c r="F419">
        <v>293.22000100000002</v>
      </c>
      <c r="G419">
        <v>30301300</v>
      </c>
      <c r="H419" s="2">
        <f t="shared" si="6"/>
        <v>-3.5174896710540637E-2</v>
      </c>
      <c r="I419" s="2">
        <f>VLOOKUP(A419,AAPL!A:H,8,)</f>
        <v>-1.1954371846544021E-2</v>
      </c>
    </row>
    <row r="420" spans="1:9" x14ac:dyDescent="0.35">
      <c r="A420" s="1">
        <v>44071</v>
      </c>
      <c r="B420">
        <v>295</v>
      </c>
      <c r="C420">
        <v>297.23001099999999</v>
      </c>
      <c r="D420">
        <v>290.98001099999999</v>
      </c>
      <c r="E420">
        <v>293.66000400000001</v>
      </c>
      <c r="F420">
        <v>293.66000400000001</v>
      </c>
      <c r="G420">
        <v>17157400</v>
      </c>
      <c r="H420" s="2">
        <f t="shared" si="6"/>
        <v>1.5005899955644608E-3</v>
      </c>
      <c r="I420" s="2">
        <f>VLOOKUP(A420,AAPL!A:H,8,)</f>
        <v>-1.6198623850913751E-3</v>
      </c>
    </row>
    <row r="421" spans="1:9" x14ac:dyDescent="0.35">
      <c r="A421" s="1">
        <v>44074</v>
      </c>
      <c r="B421">
        <v>293.95001200000002</v>
      </c>
      <c r="C421">
        <v>296.88000499999998</v>
      </c>
      <c r="D421">
        <v>291.54998799999998</v>
      </c>
      <c r="E421">
        <v>293.20001200000002</v>
      </c>
      <c r="F421">
        <v>293.20001200000002</v>
      </c>
      <c r="G421">
        <v>17345100</v>
      </c>
      <c r="H421" s="2">
        <f t="shared" si="6"/>
        <v>-1.5664101128324281E-3</v>
      </c>
      <c r="I421" s="2">
        <f>VLOOKUP(A421,AAPL!A:H,8,)</f>
        <v>3.39121438876957E-2</v>
      </c>
    </row>
    <row r="422" spans="1:9" x14ac:dyDescent="0.35">
      <c r="A422" s="1">
        <v>44075</v>
      </c>
      <c r="B422">
        <v>294.709991</v>
      </c>
      <c r="C422">
        <v>301.48998999999998</v>
      </c>
      <c r="D422">
        <v>292.709991</v>
      </c>
      <c r="E422">
        <v>295.44000199999999</v>
      </c>
      <c r="F422">
        <v>295.44000199999999</v>
      </c>
      <c r="G422">
        <v>17295900</v>
      </c>
      <c r="H422" s="2">
        <f t="shared" si="6"/>
        <v>7.6398018701309134E-3</v>
      </c>
      <c r="I422" s="2">
        <f>VLOOKUP(A422,AAPL!A:H,8,)</f>
        <v>3.9832612204186768E-2</v>
      </c>
    </row>
    <row r="423" spans="1:9" x14ac:dyDescent="0.35">
      <c r="A423" s="1">
        <v>44076</v>
      </c>
      <c r="B423">
        <v>298.88000499999998</v>
      </c>
      <c r="C423">
        <v>303.60000600000001</v>
      </c>
      <c r="D423">
        <v>293.04998799999998</v>
      </c>
      <c r="E423">
        <v>302.5</v>
      </c>
      <c r="F423">
        <v>302.5</v>
      </c>
      <c r="G423">
        <v>24341400</v>
      </c>
      <c r="H423" s="2">
        <f t="shared" si="6"/>
        <v>2.3896554130134362E-2</v>
      </c>
      <c r="I423" s="2">
        <f>VLOOKUP(A423,AAPL!A:H,8,)</f>
        <v>-2.0718431547391725E-2</v>
      </c>
    </row>
    <row r="424" spans="1:9" x14ac:dyDescent="0.35">
      <c r="A424" s="1">
        <v>44077</v>
      </c>
      <c r="B424">
        <v>295.98998999999998</v>
      </c>
      <c r="C424">
        <v>297.60000600000001</v>
      </c>
      <c r="D424">
        <v>283.63000499999998</v>
      </c>
      <c r="E424">
        <v>291.11999500000002</v>
      </c>
      <c r="F424">
        <v>291.11999500000002</v>
      </c>
      <c r="G424">
        <v>32294100</v>
      </c>
      <c r="H424" s="2">
        <f t="shared" si="6"/>
        <v>-3.7619851239669377E-2</v>
      </c>
      <c r="I424" s="2">
        <f>VLOOKUP(A424,AAPL!A:H,8,)</f>
        <v>-8.0060863625305734E-2</v>
      </c>
    </row>
    <row r="425" spans="1:9" x14ac:dyDescent="0.35">
      <c r="A425" s="1">
        <v>44078</v>
      </c>
      <c r="B425">
        <v>287.25</v>
      </c>
      <c r="C425">
        <v>289</v>
      </c>
      <c r="D425">
        <v>271.14001500000001</v>
      </c>
      <c r="E425">
        <v>282.73001099999999</v>
      </c>
      <c r="F425">
        <v>282.73001099999999</v>
      </c>
      <c r="G425">
        <v>30333700</v>
      </c>
      <c r="H425" s="2">
        <f t="shared" si="6"/>
        <v>-2.8819676230071423E-2</v>
      </c>
      <c r="I425" s="2">
        <f>VLOOKUP(A425,AAPL!A:H,8,)</f>
        <v>6.6182993038954585E-4</v>
      </c>
    </row>
    <row r="426" spans="1:9" x14ac:dyDescent="0.35">
      <c r="A426" s="1">
        <v>44082</v>
      </c>
      <c r="B426">
        <v>271.27999899999998</v>
      </c>
      <c r="C426">
        <v>279.29998799999998</v>
      </c>
      <c r="D426">
        <v>269.42001299999998</v>
      </c>
      <c r="E426">
        <v>271.16000400000001</v>
      </c>
      <c r="F426">
        <v>271.16000400000001</v>
      </c>
      <c r="G426">
        <v>24864000</v>
      </c>
      <c r="H426" s="2">
        <f t="shared" si="6"/>
        <v>-4.0922457998277317E-2</v>
      </c>
      <c r="I426" s="2">
        <f>VLOOKUP(A426,AAPL!A:H,8,)</f>
        <v>-6.7294965834118425E-2</v>
      </c>
    </row>
    <row r="427" spans="1:9" x14ac:dyDescent="0.35">
      <c r="A427" s="1">
        <v>44083</v>
      </c>
      <c r="B427">
        <v>275.76998900000001</v>
      </c>
      <c r="C427">
        <v>278.48001099999999</v>
      </c>
      <c r="D427">
        <v>271.35000600000001</v>
      </c>
      <c r="E427">
        <v>273.72000100000002</v>
      </c>
      <c r="F427">
        <v>273.72000100000002</v>
      </c>
      <c r="G427">
        <v>22918800</v>
      </c>
      <c r="H427" s="2">
        <f t="shared" si="6"/>
        <v>9.4409092869021105E-3</v>
      </c>
      <c r="I427" s="2">
        <f>VLOOKUP(A427,AAPL!A:H,8,)</f>
        <v>3.9886544938840585E-2</v>
      </c>
    </row>
    <row r="428" spans="1:9" x14ac:dyDescent="0.35">
      <c r="A428" s="1">
        <v>44084</v>
      </c>
      <c r="B428">
        <v>275.51001000000002</v>
      </c>
      <c r="C428">
        <v>279.16000400000001</v>
      </c>
      <c r="D428">
        <v>267.02999899999998</v>
      </c>
      <c r="E428">
        <v>268.08999599999999</v>
      </c>
      <c r="F428">
        <v>268.08999599999999</v>
      </c>
      <c r="G428">
        <v>24814700</v>
      </c>
      <c r="H428" s="2">
        <f t="shared" si="6"/>
        <v>-2.056848231562014E-2</v>
      </c>
      <c r="I428" s="2">
        <f>VLOOKUP(A428,AAPL!A:H,8,)</f>
        <v>-3.2645772246846172E-2</v>
      </c>
    </row>
    <row r="429" spans="1:9" x14ac:dyDescent="0.35">
      <c r="A429" s="1">
        <v>44085</v>
      </c>
      <c r="B429">
        <v>270.05999800000001</v>
      </c>
      <c r="C429">
        <v>271.39001500000001</v>
      </c>
      <c r="D429">
        <v>262.64001500000001</v>
      </c>
      <c r="E429">
        <v>266.60998499999999</v>
      </c>
      <c r="F429">
        <v>266.60998499999999</v>
      </c>
      <c r="G429">
        <v>18913900</v>
      </c>
      <c r="H429" s="2">
        <f t="shared" si="6"/>
        <v>-5.5205752623458393E-3</v>
      </c>
      <c r="I429" s="2">
        <f>VLOOKUP(A429,AAPL!A:H,8,)</f>
        <v>-1.3128892644794998E-2</v>
      </c>
    </row>
    <row r="430" spans="1:9" x14ac:dyDescent="0.35">
      <c r="A430" s="1">
        <v>44088</v>
      </c>
      <c r="B430">
        <v>270.95001200000002</v>
      </c>
      <c r="C430">
        <v>276.64001500000001</v>
      </c>
      <c r="D430">
        <v>265.70001200000002</v>
      </c>
      <c r="E430">
        <v>266.14999399999999</v>
      </c>
      <c r="F430">
        <v>266.14999399999999</v>
      </c>
      <c r="G430">
        <v>24093800</v>
      </c>
      <c r="H430" s="2">
        <f t="shared" si="6"/>
        <v>-1.7253329803083028E-3</v>
      </c>
      <c r="I430" s="2">
        <f>VLOOKUP(A430,AAPL!A:H,8,)</f>
        <v>3.0000008928571464E-2</v>
      </c>
    </row>
    <row r="431" spans="1:9" x14ac:dyDescent="0.35">
      <c r="A431" s="1">
        <v>44089</v>
      </c>
      <c r="B431">
        <v>270.67001299999998</v>
      </c>
      <c r="C431">
        <v>274.51998900000001</v>
      </c>
      <c r="D431">
        <v>269.29998799999998</v>
      </c>
      <c r="E431">
        <v>272.42001299999998</v>
      </c>
      <c r="F431">
        <v>272.42001299999998</v>
      </c>
      <c r="G431">
        <v>18478500</v>
      </c>
      <c r="H431" s="2">
        <f t="shared" si="6"/>
        <v>2.3558215823217266E-2</v>
      </c>
      <c r="I431" s="2">
        <f>VLOOKUP(A431,AAPL!A:H,8,)</f>
        <v>1.5603328574866904E-3</v>
      </c>
    </row>
    <row r="432" spans="1:9" x14ac:dyDescent="0.35">
      <c r="A432" s="1">
        <v>44090</v>
      </c>
      <c r="B432">
        <v>267.290009</v>
      </c>
      <c r="C432">
        <v>272.44000199999999</v>
      </c>
      <c r="D432">
        <v>261.790009</v>
      </c>
      <c r="E432">
        <v>263.51998900000001</v>
      </c>
      <c r="F432">
        <v>263.51998900000001</v>
      </c>
      <c r="G432">
        <v>29183400</v>
      </c>
      <c r="H432" s="2">
        <f t="shared" si="6"/>
        <v>-3.2670228233195098E-2</v>
      </c>
      <c r="I432" s="2">
        <f>VLOOKUP(A432,AAPL!A:H,8,)</f>
        <v>-2.9513622732269207E-2</v>
      </c>
    </row>
    <row r="433" spans="1:9" x14ac:dyDescent="0.35">
      <c r="A433" s="1">
        <v>44091</v>
      </c>
      <c r="B433">
        <v>258.27999899999998</v>
      </c>
      <c r="C433">
        <v>261.5</v>
      </c>
      <c r="D433">
        <v>250.19000199999999</v>
      </c>
      <c r="E433">
        <v>254.820007</v>
      </c>
      <c r="F433">
        <v>254.820007</v>
      </c>
      <c r="G433">
        <v>31281400</v>
      </c>
      <c r="H433" s="2">
        <f t="shared" si="6"/>
        <v>-3.3014505021097262E-2</v>
      </c>
      <c r="I433" s="2">
        <f>VLOOKUP(A433,AAPL!A:H,8,)</f>
        <v>-1.5963623008034222E-2</v>
      </c>
    </row>
    <row r="434" spans="1:9" x14ac:dyDescent="0.35">
      <c r="A434" s="1">
        <v>44092</v>
      </c>
      <c r="B434">
        <v>258.39999399999999</v>
      </c>
      <c r="C434">
        <v>259.20001200000002</v>
      </c>
      <c r="D434">
        <v>250.050003</v>
      </c>
      <c r="E434">
        <v>252.529999</v>
      </c>
      <c r="F434">
        <v>252.529999</v>
      </c>
      <c r="G434">
        <v>28130800</v>
      </c>
      <c r="H434" s="2">
        <f t="shared" si="6"/>
        <v>-8.986766882868813E-3</v>
      </c>
      <c r="I434" s="2">
        <f>VLOOKUP(A434,AAPL!A:H,8,)</f>
        <v>-3.1720138905932171E-2</v>
      </c>
    </row>
    <row r="435" spans="1:9" x14ac:dyDescent="0.35">
      <c r="A435" s="1">
        <v>44095</v>
      </c>
      <c r="B435">
        <v>247.53999300000001</v>
      </c>
      <c r="C435">
        <v>249.949997</v>
      </c>
      <c r="D435">
        <v>244.13000500000001</v>
      </c>
      <c r="E435">
        <v>248.14999399999999</v>
      </c>
      <c r="F435">
        <v>248.14999399999999</v>
      </c>
      <c r="G435">
        <v>24709400</v>
      </c>
      <c r="H435" s="2">
        <f t="shared" si="6"/>
        <v>-1.7344493792200932E-2</v>
      </c>
      <c r="I435" s="2">
        <f>VLOOKUP(A435,AAPL!A:H,8,)</f>
        <v>3.0325777997969983E-2</v>
      </c>
    </row>
    <row r="436" spans="1:9" x14ac:dyDescent="0.35">
      <c r="A436" s="1">
        <v>44096</v>
      </c>
      <c r="B436">
        <v>253.30999800000001</v>
      </c>
      <c r="C436">
        <v>255.320007</v>
      </c>
      <c r="D436">
        <v>248.220001</v>
      </c>
      <c r="E436">
        <v>254.75</v>
      </c>
      <c r="F436">
        <v>254.75</v>
      </c>
      <c r="G436">
        <v>30293100</v>
      </c>
      <c r="H436" s="2">
        <f t="shared" si="6"/>
        <v>2.6596841263675453E-2</v>
      </c>
      <c r="I436" s="2">
        <f>VLOOKUP(A436,AAPL!A:H,8,)</f>
        <v>1.5715806400512289E-2</v>
      </c>
    </row>
    <row r="437" spans="1:9" x14ac:dyDescent="0.35">
      <c r="A437" s="1">
        <v>44097</v>
      </c>
      <c r="B437">
        <v>255.259995</v>
      </c>
      <c r="C437">
        <v>257.98998999999998</v>
      </c>
      <c r="D437">
        <v>248.14999399999999</v>
      </c>
      <c r="E437">
        <v>249.020004</v>
      </c>
      <c r="F437">
        <v>249.020004</v>
      </c>
      <c r="G437">
        <v>19641300</v>
      </c>
      <c r="H437" s="2">
        <f t="shared" si="6"/>
        <v>-2.2492624141315032E-2</v>
      </c>
      <c r="I437" s="2">
        <f>VLOOKUP(A437,AAPL!A:H,8,)</f>
        <v>-4.1946114693607206E-2</v>
      </c>
    </row>
    <row r="438" spans="1:9" x14ac:dyDescent="0.35">
      <c r="A438" s="1">
        <v>44098</v>
      </c>
      <c r="B438">
        <v>246.5</v>
      </c>
      <c r="C438">
        <v>252.240005</v>
      </c>
      <c r="D438">
        <v>245.61999499999999</v>
      </c>
      <c r="E438">
        <v>249.529999</v>
      </c>
      <c r="F438">
        <v>249.529999</v>
      </c>
      <c r="G438">
        <v>20006800</v>
      </c>
      <c r="H438" s="2">
        <f t="shared" si="6"/>
        <v>2.0480081592160193E-3</v>
      </c>
      <c r="I438" s="2">
        <f>VLOOKUP(A438,AAPL!A:H,8,)</f>
        <v>1.0268838397997415E-2</v>
      </c>
    </row>
    <row r="439" spans="1:9" x14ac:dyDescent="0.35">
      <c r="A439" s="1">
        <v>44099</v>
      </c>
      <c r="B439">
        <v>249.39999399999999</v>
      </c>
      <c r="C439">
        <v>255.75</v>
      </c>
      <c r="D439">
        <v>246.61000100000001</v>
      </c>
      <c r="E439">
        <v>254.820007</v>
      </c>
      <c r="F439">
        <v>254.820007</v>
      </c>
      <c r="G439">
        <v>18351300</v>
      </c>
      <c r="H439" s="2">
        <f t="shared" si="6"/>
        <v>2.1199887874002732E-2</v>
      </c>
      <c r="I439" s="2">
        <f>VLOOKUP(A439,AAPL!A:H,8,)</f>
        <v>3.7516151935722108E-2</v>
      </c>
    </row>
    <row r="440" spans="1:9" x14ac:dyDescent="0.35">
      <c r="A440" s="1">
        <v>44102</v>
      </c>
      <c r="B440">
        <v>259.39999399999999</v>
      </c>
      <c r="C440">
        <v>259.60000600000001</v>
      </c>
      <c r="D440">
        <v>254.820007</v>
      </c>
      <c r="E440">
        <v>256.82000699999998</v>
      </c>
      <c r="F440">
        <v>256.82000699999998</v>
      </c>
      <c r="G440">
        <v>18826300</v>
      </c>
      <c r="H440" s="2">
        <f t="shared" si="6"/>
        <v>7.8486772822354833E-3</v>
      </c>
      <c r="I440" s="2">
        <f>VLOOKUP(A440,AAPL!A:H,8,)</f>
        <v>2.3868899393203469E-2</v>
      </c>
    </row>
    <row r="441" spans="1:9" x14ac:dyDescent="0.35">
      <c r="A441" s="1">
        <v>44103</v>
      </c>
      <c r="B441">
        <v>257.80999800000001</v>
      </c>
      <c r="C441">
        <v>263.32998700000002</v>
      </c>
      <c r="D441">
        <v>256.89999399999999</v>
      </c>
      <c r="E441">
        <v>261.790009</v>
      </c>
      <c r="F441">
        <v>261.790009</v>
      </c>
      <c r="G441">
        <v>20200200</v>
      </c>
      <c r="H441" s="2">
        <f t="shared" si="6"/>
        <v>1.9352082643623758E-2</v>
      </c>
      <c r="I441" s="2">
        <f>VLOOKUP(A441,AAPL!A:H,8,)</f>
        <v>-7.5678758487114361E-3</v>
      </c>
    </row>
    <row r="442" spans="1:9" x14ac:dyDescent="0.35">
      <c r="A442" s="1">
        <v>44104</v>
      </c>
      <c r="B442">
        <v>261.98001099999999</v>
      </c>
      <c r="C442">
        <v>266.07998700000002</v>
      </c>
      <c r="D442">
        <v>260.10000600000001</v>
      </c>
      <c r="E442">
        <v>261.89999399999999</v>
      </c>
      <c r="F442">
        <v>261.89999399999999</v>
      </c>
      <c r="G442">
        <v>20142500</v>
      </c>
      <c r="H442" s="2">
        <f t="shared" si="6"/>
        <v>4.2012680476277708E-4</v>
      </c>
      <c r="I442" s="2">
        <f>VLOOKUP(A442,AAPL!A:H,8,)</f>
        <v>1.5075835395769399E-2</v>
      </c>
    </row>
    <row r="443" spans="1:9" x14ac:dyDescent="0.35">
      <c r="A443" s="1">
        <v>44105</v>
      </c>
      <c r="B443">
        <v>265.35000600000001</v>
      </c>
      <c r="C443">
        <v>268.32998700000002</v>
      </c>
      <c r="D443">
        <v>264.79998799999998</v>
      </c>
      <c r="E443">
        <v>266.63000499999998</v>
      </c>
      <c r="F443">
        <v>266.63000499999998</v>
      </c>
      <c r="G443">
        <v>20009800</v>
      </c>
      <c r="H443" s="2">
        <f t="shared" si="6"/>
        <v>1.806037078412448E-2</v>
      </c>
      <c r="I443" s="2">
        <f>VLOOKUP(A443,AAPL!A:H,8,)</f>
        <v>8.4621623083009911E-3</v>
      </c>
    </row>
    <row r="444" spans="1:9" x14ac:dyDescent="0.35">
      <c r="A444" s="1">
        <v>44106</v>
      </c>
      <c r="B444">
        <v>261.209991</v>
      </c>
      <c r="C444">
        <v>265.14999399999999</v>
      </c>
      <c r="D444">
        <v>259.17999300000002</v>
      </c>
      <c r="E444">
        <v>259.94000199999999</v>
      </c>
      <c r="F444">
        <v>259.94000199999999</v>
      </c>
      <c r="G444">
        <v>16367600</v>
      </c>
      <c r="H444" s="2">
        <f t="shared" si="6"/>
        <v>-2.5090960786652627E-2</v>
      </c>
      <c r="I444" s="2">
        <f>VLOOKUP(A444,AAPL!A:H,8,)</f>
        <v>-3.2280194945798479E-2</v>
      </c>
    </row>
    <row r="445" spans="1:9" x14ac:dyDescent="0.35">
      <c r="A445" s="1">
        <v>44109</v>
      </c>
      <c r="B445">
        <v>262.20001200000002</v>
      </c>
      <c r="C445">
        <v>264.86999500000002</v>
      </c>
      <c r="D445">
        <v>260.83999599999999</v>
      </c>
      <c r="E445">
        <v>264.64999399999999</v>
      </c>
      <c r="F445">
        <v>264.64999399999999</v>
      </c>
      <c r="G445">
        <v>12822300</v>
      </c>
      <c r="H445" s="2">
        <f t="shared" si="6"/>
        <v>1.8119535137958387E-2</v>
      </c>
      <c r="I445" s="2">
        <f>VLOOKUP(A445,AAPL!A:H,8,)</f>
        <v>3.079103780192094E-2</v>
      </c>
    </row>
    <row r="446" spans="1:9" x14ac:dyDescent="0.35">
      <c r="A446" s="1">
        <v>44110</v>
      </c>
      <c r="B446">
        <v>261.77999899999998</v>
      </c>
      <c r="C446">
        <v>265.69000199999999</v>
      </c>
      <c r="D446">
        <v>258.23998999999998</v>
      </c>
      <c r="E446">
        <v>258.66000400000001</v>
      </c>
      <c r="F446">
        <v>258.66000400000001</v>
      </c>
      <c r="G446">
        <v>18696900</v>
      </c>
      <c r="H446" s="2">
        <f t="shared" si="6"/>
        <v>-2.2633629834882929E-2</v>
      </c>
      <c r="I446" s="2">
        <f>VLOOKUP(A446,AAPL!A:H,8,)</f>
        <v>-2.8669493562231807E-2</v>
      </c>
    </row>
    <row r="447" spans="1:9" x14ac:dyDescent="0.35">
      <c r="A447" s="1">
        <v>44111</v>
      </c>
      <c r="B447">
        <v>259.209991</v>
      </c>
      <c r="C447">
        <v>260.17999300000002</v>
      </c>
      <c r="D447">
        <v>254.820007</v>
      </c>
      <c r="E447">
        <v>258.11999500000002</v>
      </c>
      <c r="F447">
        <v>258.11999500000002</v>
      </c>
      <c r="G447">
        <v>23133400</v>
      </c>
      <c r="H447" s="2">
        <f t="shared" si="6"/>
        <v>-2.0877174346598526E-3</v>
      </c>
      <c r="I447" s="2">
        <f>VLOOKUP(A447,AAPL!A:H,8,)</f>
        <v>1.69671079191549E-2</v>
      </c>
    </row>
    <row r="448" spans="1:9" x14ac:dyDescent="0.35">
      <c r="A448" s="1">
        <v>44112</v>
      </c>
      <c r="B448">
        <v>259.75</v>
      </c>
      <c r="C448">
        <v>264.61999500000002</v>
      </c>
      <c r="D448">
        <v>259.14999399999999</v>
      </c>
      <c r="E448">
        <v>263.76001000000002</v>
      </c>
      <c r="F448">
        <v>263.76001000000002</v>
      </c>
      <c r="G448">
        <v>16312800</v>
      </c>
      <c r="H448" s="2">
        <f t="shared" si="6"/>
        <v>2.1850360720795825E-2</v>
      </c>
      <c r="I448" s="2">
        <f>VLOOKUP(A448,AAPL!A:H,8,)</f>
        <v>-9.5586546826786911E-4</v>
      </c>
    </row>
    <row r="449" spans="1:9" x14ac:dyDescent="0.35">
      <c r="A449" s="1">
        <v>44113</v>
      </c>
      <c r="B449">
        <v>264.51998900000001</v>
      </c>
      <c r="C449">
        <v>264.75</v>
      </c>
      <c r="D449">
        <v>262.17001299999998</v>
      </c>
      <c r="E449">
        <v>264.45001200000002</v>
      </c>
      <c r="F449">
        <v>264.45001200000002</v>
      </c>
      <c r="G449">
        <v>14107800</v>
      </c>
      <c r="H449" s="2">
        <f t="shared" si="6"/>
        <v>2.6160220421587166E-3</v>
      </c>
      <c r="I449" s="2">
        <f>VLOOKUP(A449,AAPL!A:H,8,)</f>
        <v>1.7395842242360349E-2</v>
      </c>
    </row>
    <row r="450" spans="1:9" x14ac:dyDescent="0.35">
      <c r="A450" s="1">
        <v>44116</v>
      </c>
      <c r="B450">
        <v>270.20001200000002</v>
      </c>
      <c r="C450">
        <v>280.17999300000002</v>
      </c>
      <c r="D450">
        <v>267.86999500000002</v>
      </c>
      <c r="E450">
        <v>275.75</v>
      </c>
      <c r="F450">
        <v>275.75</v>
      </c>
      <c r="G450">
        <v>31019300</v>
      </c>
      <c r="H450" s="2">
        <f t="shared" si="6"/>
        <v>4.273014742763559E-2</v>
      </c>
      <c r="I450" s="2">
        <f>VLOOKUP(A450,AAPL!A:H,8,)</f>
        <v>6.3520568833713265E-2</v>
      </c>
    </row>
    <row r="451" spans="1:9" x14ac:dyDescent="0.35">
      <c r="A451" s="1">
        <v>44117</v>
      </c>
      <c r="B451">
        <v>277.57998700000002</v>
      </c>
      <c r="C451">
        <v>279.10000600000001</v>
      </c>
      <c r="D451">
        <v>273.39001500000001</v>
      </c>
      <c r="E451">
        <v>276.14001500000001</v>
      </c>
      <c r="F451">
        <v>276.14001500000001</v>
      </c>
      <c r="G451">
        <v>18063300</v>
      </c>
      <c r="H451" s="2">
        <f t="shared" si="6"/>
        <v>1.4143789664551321E-3</v>
      </c>
      <c r="I451" s="2">
        <f>VLOOKUP(A451,AAPL!A:H,8,)</f>
        <v>-2.6527362917566522E-2</v>
      </c>
    </row>
    <row r="452" spans="1:9" x14ac:dyDescent="0.35">
      <c r="A452" s="1">
        <v>44118</v>
      </c>
      <c r="B452">
        <v>277.61999500000002</v>
      </c>
      <c r="C452">
        <v>278.75</v>
      </c>
      <c r="D452">
        <v>271.5</v>
      </c>
      <c r="E452">
        <v>271.82000699999998</v>
      </c>
      <c r="F452">
        <v>271.82000699999998</v>
      </c>
      <c r="G452">
        <v>15577800</v>
      </c>
      <c r="H452" s="2">
        <f t="shared" ref="H452:H515" si="7">E452/E451-1</f>
        <v>-1.5644266550793207E-2</v>
      </c>
      <c r="I452" s="2">
        <f>VLOOKUP(A452,AAPL!A:H,8,)</f>
        <v>7.4322049121766653E-4</v>
      </c>
    </row>
    <row r="453" spans="1:9" x14ac:dyDescent="0.35">
      <c r="A453" s="1">
        <v>44119</v>
      </c>
      <c r="B453">
        <v>267.60000600000001</v>
      </c>
      <c r="C453">
        <v>269.040009</v>
      </c>
      <c r="D453">
        <v>263.67001299999998</v>
      </c>
      <c r="E453">
        <v>266.72000100000002</v>
      </c>
      <c r="F453">
        <v>266.72000100000002</v>
      </c>
      <c r="G453">
        <v>15416100</v>
      </c>
      <c r="H453" s="2">
        <f t="shared" si="7"/>
        <v>-1.8762437895161854E-2</v>
      </c>
      <c r="I453" s="2">
        <f>VLOOKUP(A453,AAPL!A:H,8,)</f>
        <v>-3.9607475210703402E-3</v>
      </c>
    </row>
    <row r="454" spans="1:9" x14ac:dyDescent="0.35">
      <c r="A454" s="1">
        <v>44120</v>
      </c>
      <c r="B454">
        <v>267.38000499999998</v>
      </c>
      <c r="C454">
        <v>271.36999500000002</v>
      </c>
      <c r="D454">
        <v>265.29998799999998</v>
      </c>
      <c r="E454">
        <v>265.92999300000002</v>
      </c>
      <c r="F454">
        <v>265.92999300000002</v>
      </c>
      <c r="G454">
        <v>16622700</v>
      </c>
      <c r="H454" s="2">
        <f t="shared" si="7"/>
        <v>-2.9619376013724219E-3</v>
      </c>
      <c r="I454" s="2">
        <f>VLOOKUP(A454,AAPL!A:H,8,)</f>
        <v>-1.4000513743687382E-2</v>
      </c>
    </row>
    <row r="455" spans="1:9" x14ac:dyDescent="0.35">
      <c r="A455" s="1">
        <v>44123</v>
      </c>
      <c r="B455">
        <v>265.52999899999998</v>
      </c>
      <c r="C455">
        <v>268.54998799999998</v>
      </c>
      <c r="D455">
        <v>259.88000499999998</v>
      </c>
      <c r="E455">
        <v>261.39999399999999</v>
      </c>
      <c r="F455">
        <v>261.39999399999999</v>
      </c>
      <c r="G455">
        <v>13587000</v>
      </c>
      <c r="H455" s="2">
        <f t="shared" si="7"/>
        <v>-1.7034554654389966E-2</v>
      </c>
      <c r="I455" s="2">
        <f>VLOOKUP(A455,AAPL!A:H,8,)</f>
        <v>-2.5541875958877802E-2</v>
      </c>
    </row>
    <row r="456" spans="1:9" x14ac:dyDescent="0.35">
      <c r="A456" s="1">
        <v>44124</v>
      </c>
      <c r="B456">
        <v>263.05999800000001</v>
      </c>
      <c r="C456">
        <v>269.70001200000002</v>
      </c>
      <c r="D456">
        <v>262.88000499999998</v>
      </c>
      <c r="E456">
        <v>267.55999800000001</v>
      </c>
      <c r="F456">
        <v>267.55999800000001</v>
      </c>
      <c r="G456">
        <v>18763200</v>
      </c>
      <c r="H456" s="2">
        <f t="shared" si="7"/>
        <v>2.3565432828586808E-2</v>
      </c>
      <c r="I456" s="2">
        <f>VLOOKUP(A456,AAPL!A:H,8,)</f>
        <v>1.3191920679636482E-2</v>
      </c>
    </row>
    <row r="457" spans="1:9" x14ac:dyDescent="0.35">
      <c r="A457" s="1">
        <v>44125</v>
      </c>
      <c r="B457">
        <v>279.55999800000001</v>
      </c>
      <c r="C457">
        <v>283.04998799999998</v>
      </c>
      <c r="D457">
        <v>276.36999500000002</v>
      </c>
      <c r="E457">
        <v>278.73001099999999</v>
      </c>
      <c r="F457">
        <v>278.73001099999999</v>
      </c>
      <c r="G457">
        <v>28998600</v>
      </c>
      <c r="H457" s="2">
        <f t="shared" si="7"/>
        <v>4.1747694287245452E-2</v>
      </c>
      <c r="I457" s="2">
        <f>VLOOKUP(A457,AAPL!A:H,8,)</f>
        <v>-5.4463363893058059E-3</v>
      </c>
    </row>
    <row r="458" spans="1:9" x14ac:dyDescent="0.35">
      <c r="A458" s="1">
        <v>44126</v>
      </c>
      <c r="B458">
        <v>279.86999500000002</v>
      </c>
      <c r="C458">
        <v>282.45001200000002</v>
      </c>
      <c r="D458">
        <v>275.040009</v>
      </c>
      <c r="E458">
        <v>278.11999500000002</v>
      </c>
      <c r="F458">
        <v>278.11999500000002</v>
      </c>
      <c r="G458">
        <v>16720000</v>
      </c>
      <c r="H458" s="2">
        <f t="shared" si="7"/>
        <v>-2.1885551462916819E-3</v>
      </c>
      <c r="I458" s="2">
        <f>VLOOKUP(A458,AAPL!A:H,8,)</f>
        <v>-9.5833231047319778E-3</v>
      </c>
    </row>
    <row r="459" spans="1:9" x14ac:dyDescent="0.35">
      <c r="A459" s="1">
        <v>44127</v>
      </c>
      <c r="B459">
        <v>278.79998799999998</v>
      </c>
      <c r="C459">
        <v>285.23998999999998</v>
      </c>
      <c r="D459">
        <v>276.82000699999998</v>
      </c>
      <c r="E459">
        <v>284.790009</v>
      </c>
      <c r="F459">
        <v>284.790009</v>
      </c>
      <c r="G459">
        <v>17535200</v>
      </c>
      <c r="H459" s="2">
        <f t="shared" si="7"/>
        <v>2.3982504386281134E-2</v>
      </c>
      <c r="I459" s="2">
        <f>VLOOKUP(A459,AAPL!A:H,8,)</f>
        <v>-6.133900647948165E-3</v>
      </c>
    </row>
    <row r="460" spans="1:9" x14ac:dyDescent="0.35">
      <c r="A460" s="1">
        <v>44130</v>
      </c>
      <c r="B460">
        <v>283.16000400000001</v>
      </c>
      <c r="C460">
        <v>285.23001099999999</v>
      </c>
      <c r="D460">
        <v>274.26001000000002</v>
      </c>
      <c r="E460">
        <v>277.10998499999999</v>
      </c>
      <c r="F460">
        <v>277.10998499999999</v>
      </c>
      <c r="G460">
        <v>21322900</v>
      </c>
      <c r="H460" s="2">
        <f t="shared" si="7"/>
        <v>-2.6967322438618324E-2</v>
      </c>
      <c r="I460" s="2">
        <f>VLOOKUP(A460,AAPL!A:H,8,)</f>
        <v>8.6943671010475398E-5</v>
      </c>
    </row>
    <row r="461" spans="1:9" x14ac:dyDescent="0.35">
      <c r="A461" s="1">
        <v>44131</v>
      </c>
      <c r="B461">
        <v>278.76001000000002</v>
      </c>
      <c r="C461">
        <v>284.51001000000002</v>
      </c>
      <c r="D461">
        <v>276.30999800000001</v>
      </c>
      <c r="E461">
        <v>283.290009</v>
      </c>
      <c r="F461">
        <v>283.290009</v>
      </c>
      <c r="G461">
        <v>16287200</v>
      </c>
      <c r="H461" s="2">
        <f t="shared" si="7"/>
        <v>2.2301700893239129E-2</v>
      </c>
      <c r="I461" s="2">
        <f>VLOOKUP(A461,AAPL!A:H,8,)</f>
        <v>1.3472359492246122E-2</v>
      </c>
    </row>
    <row r="462" spans="1:9" x14ac:dyDescent="0.35">
      <c r="A462" s="1">
        <v>44132</v>
      </c>
      <c r="B462">
        <v>278.790009</v>
      </c>
      <c r="C462">
        <v>278.790009</v>
      </c>
      <c r="D462">
        <v>267.26001000000002</v>
      </c>
      <c r="E462">
        <v>267.67001299999998</v>
      </c>
      <c r="F462">
        <v>267.67001299999998</v>
      </c>
      <c r="G462">
        <v>23121800</v>
      </c>
      <c r="H462" s="2">
        <f t="shared" si="7"/>
        <v>-5.5137828740017492E-2</v>
      </c>
      <c r="I462" s="2">
        <f>VLOOKUP(A462,AAPL!A:H,8,)</f>
        <v>-4.6312187758356549E-2</v>
      </c>
    </row>
    <row r="463" spans="1:9" x14ac:dyDescent="0.35">
      <c r="A463" s="1">
        <v>44133</v>
      </c>
      <c r="B463">
        <v>276.54998799999998</v>
      </c>
      <c r="C463">
        <v>283.60000600000001</v>
      </c>
      <c r="D463">
        <v>273.77999899999998</v>
      </c>
      <c r="E463">
        <v>280.82998700000002</v>
      </c>
      <c r="F463">
        <v>280.82998700000002</v>
      </c>
      <c r="G463">
        <v>32368100</v>
      </c>
      <c r="H463" s="2">
        <f t="shared" si="7"/>
        <v>4.9164917102611838E-2</v>
      </c>
      <c r="I463" s="2">
        <f>VLOOKUP(A463,AAPL!A:H,8,)</f>
        <v>3.7050387690208186E-2</v>
      </c>
    </row>
    <row r="464" spans="1:9" x14ac:dyDescent="0.35">
      <c r="A464" s="1">
        <v>44134</v>
      </c>
      <c r="B464">
        <v>274.5</v>
      </c>
      <c r="C464">
        <v>276.70001200000002</v>
      </c>
      <c r="D464">
        <v>259.10000600000001</v>
      </c>
      <c r="E464">
        <v>263.10998499999999</v>
      </c>
      <c r="F464">
        <v>263.10998499999999</v>
      </c>
      <c r="G464">
        <v>47247800</v>
      </c>
      <c r="H464" s="2">
        <f t="shared" si="7"/>
        <v>-6.309868183699352E-2</v>
      </c>
      <c r="I464" s="2">
        <f>VLOOKUP(A464,AAPL!A:H,8,)</f>
        <v>-5.601802809573353E-2</v>
      </c>
    </row>
    <row r="465" spans="1:9" x14ac:dyDescent="0.35">
      <c r="A465" s="1">
        <v>44137</v>
      </c>
      <c r="B465">
        <v>264.60000600000001</v>
      </c>
      <c r="C465">
        <v>270.47000100000002</v>
      </c>
      <c r="D465">
        <v>257.33999599999999</v>
      </c>
      <c r="E465">
        <v>261.35998499999999</v>
      </c>
      <c r="F465">
        <v>261.35998499999999</v>
      </c>
      <c r="G465">
        <v>27165700</v>
      </c>
      <c r="H465" s="2">
        <f t="shared" si="7"/>
        <v>-6.651210899502713E-3</v>
      </c>
      <c r="I465" s="2">
        <f>VLOOKUP(A465,AAPL!A:H,8,)</f>
        <v>-8.2678669091684753E-4</v>
      </c>
    </row>
    <row r="466" spans="1:9" x14ac:dyDescent="0.35">
      <c r="A466" s="1">
        <v>44138</v>
      </c>
      <c r="B466">
        <v>263.16000400000001</v>
      </c>
      <c r="C466">
        <v>270.04998799999998</v>
      </c>
      <c r="D466">
        <v>260.88000499999998</v>
      </c>
      <c r="E466">
        <v>265.29998799999998</v>
      </c>
      <c r="F466">
        <v>265.29998799999998</v>
      </c>
      <c r="G466">
        <v>17961900</v>
      </c>
      <c r="H466" s="2">
        <f t="shared" si="7"/>
        <v>1.5075004691326388E-2</v>
      </c>
      <c r="I466" s="2">
        <f>VLOOKUP(A466,AAPL!A:H,8,)</f>
        <v>1.5353544599251867E-2</v>
      </c>
    </row>
    <row r="467" spans="1:9" x14ac:dyDescent="0.35">
      <c r="A467" s="1">
        <v>44139</v>
      </c>
      <c r="B467">
        <v>281</v>
      </c>
      <c r="C467">
        <v>288.94000199999999</v>
      </c>
      <c r="D467">
        <v>278.61999500000002</v>
      </c>
      <c r="E467">
        <v>287.38000499999998</v>
      </c>
      <c r="F467">
        <v>287.38000499999998</v>
      </c>
      <c r="G467">
        <v>35364400</v>
      </c>
      <c r="H467" s="2">
        <f t="shared" si="7"/>
        <v>8.3226603839876567E-2</v>
      </c>
      <c r="I467" s="2">
        <f>VLOOKUP(A467,AAPL!A:H,8,)</f>
        <v>4.0836607373476719E-2</v>
      </c>
    </row>
    <row r="468" spans="1:9" x14ac:dyDescent="0.35">
      <c r="A468" s="1">
        <v>44140</v>
      </c>
      <c r="B468">
        <v>291.89999399999999</v>
      </c>
      <c r="C468">
        <v>297.38000499999998</v>
      </c>
      <c r="D468">
        <v>288.95001200000002</v>
      </c>
      <c r="E468">
        <v>294.67999300000002</v>
      </c>
      <c r="F468">
        <v>294.67999300000002</v>
      </c>
      <c r="G468">
        <v>23823600</v>
      </c>
      <c r="H468" s="2">
        <f t="shared" si="7"/>
        <v>2.5401864684357678E-2</v>
      </c>
      <c r="I468" s="2">
        <f>VLOOKUP(A468,AAPL!A:H,8,)</f>
        <v>3.5493711235155656E-2</v>
      </c>
    </row>
    <row r="469" spans="1:9" x14ac:dyDescent="0.35">
      <c r="A469" s="1">
        <v>44141</v>
      </c>
      <c r="B469">
        <v>293.95001200000002</v>
      </c>
      <c r="C469">
        <v>294.60000600000001</v>
      </c>
      <c r="D469">
        <v>288.05999800000001</v>
      </c>
      <c r="E469">
        <v>293.41000400000001</v>
      </c>
      <c r="F469">
        <v>293.41000400000001</v>
      </c>
      <c r="G469">
        <v>13891000</v>
      </c>
      <c r="H469" s="2">
        <f t="shared" si="7"/>
        <v>-4.309722513126335E-3</v>
      </c>
      <c r="I469" s="2">
        <f>VLOOKUP(A469,AAPL!A:H,8,)</f>
        <v>-2.8563975708342237E-3</v>
      </c>
    </row>
    <row r="470" spans="1:9" x14ac:dyDescent="0.35">
      <c r="A470" s="1">
        <v>44144</v>
      </c>
      <c r="B470">
        <v>289.86999500000002</v>
      </c>
      <c r="C470">
        <v>292.57998700000002</v>
      </c>
      <c r="D470">
        <v>278.52999899999998</v>
      </c>
      <c r="E470">
        <v>278.76998900000001</v>
      </c>
      <c r="F470">
        <v>278.76998900000001</v>
      </c>
      <c r="G470">
        <v>25117700</v>
      </c>
      <c r="H470" s="2">
        <f t="shared" si="7"/>
        <v>-4.9896100338828298E-2</v>
      </c>
      <c r="I470" s="2">
        <f>VLOOKUP(A470,AAPL!A:H,8,)</f>
        <v>-1.996800033755175E-2</v>
      </c>
    </row>
    <row r="471" spans="1:9" x14ac:dyDescent="0.35">
      <c r="A471" s="1">
        <v>44145</v>
      </c>
      <c r="B471">
        <v>273.10000600000001</v>
      </c>
      <c r="C471">
        <v>274</v>
      </c>
      <c r="D471">
        <v>264</v>
      </c>
      <c r="E471">
        <v>272.42999300000002</v>
      </c>
      <c r="F471">
        <v>272.42999300000002</v>
      </c>
      <c r="G471">
        <v>29067700</v>
      </c>
      <c r="H471" s="2">
        <f t="shared" si="7"/>
        <v>-2.2742749399756845E-2</v>
      </c>
      <c r="I471" s="2">
        <f>VLOOKUP(A471,AAPL!A:H,8,)</f>
        <v>-3.0089322558458642E-3</v>
      </c>
    </row>
    <row r="472" spans="1:9" x14ac:dyDescent="0.35">
      <c r="A472" s="1">
        <v>44146</v>
      </c>
      <c r="B472">
        <v>273.47000100000002</v>
      </c>
      <c r="C472">
        <v>278.39999399999999</v>
      </c>
      <c r="D472">
        <v>272.48001099999999</v>
      </c>
      <c r="E472">
        <v>276.48001099999999</v>
      </c>
      <c r="F472">
        <v>276.48001099999999</v>
      </c>
      <c r="G472">
        <v>14957000</v>
      </c>
      <c r="H472" s="2">
        <f t="shared" si="7"/>
        <v>1.4866270616539445E-2</v>
      </c>
      <c r="I472" s="2">
        <f>VLOOKUP(A472,AAPL!A:H,8,)</f>
        <v>3.0352651286085663E-2</v>
      </c>
    </row>
    <row r="473" spans="1:9" x14ac:dyDescent="0.35">
      <c r="A473" s="1">
        <v>44147</v>
      </c>
      <c r="B473">
        <v>277.17999300000002</v>
      </c>
      <c r="C473">
        <v>279.75</v>
      </c>
      <c r="D473">
        <v>274.42999300000002</v>
      </c>
      <c r="E473">
        <v>275.07998700000002</v>
      </c>
      <c r="F473">
        <v>275.07998700000002</v>
      </c>
      <c r="G473">
        <v>12899500</v>
      </c>
      <c r="H473" s="2">
        <f t="shared" si="7"/>
        <v>-5.0637440114973398E-3</v>
      </c>
      <c r="I473" s="2">
        <f>VLOOKUP(A473,AAPL!A:H,8,)</f>
        <v>-2.3432839960378926E-3</v>
      </c>
    </row>
    <row r="474" spans="1:9" x14ac:dyDescent="0.35">
      <c r="A474" s="1">
        <v>44148</v>
      </c>
      <c r="B474">
        <v>277.72000100000002</v>
      </c>
      <c r="C474">
        <v>277.76001000000002</v>
      </c>
      <c r="D474">
        <v>273.10000600000001</v>
      </c>
      <c r="E474">
        <v>276.95001200000002</v>
      </c>
      <c r="F474">
        <v>276.95001200000002</v>
      </c>
      <c r="G474">
        <v>10391200</v>
      </c>
      <c r="H474" s="2">
        <f t="shared" si="7"/>
        <v>6.7981135974097828E-3</v>
      </c>
      <c r="I474" s="2">
        <f>VLOOKUP(A474,AAPL!A:H,8,)</f>
        <v>4.1945306953650174E-4</v>
      </c>
    </row>
    <row r="475" spans="1:9" x14ac:dyDescent="0.35">
      <c r="A475" s="1">
        <v>44151</v>
      </c>
      <c r="B475">
        <v>275.04998799999998</v>
      </c>
      <c r="C475">
        <v>279.41000400000001</v>
      </c>
      <c r="D475">
        <v>274.63000499999998</v>
      </c>
      <c r="E475">
        <v>278.959991</v>
      </c>
      <c r="F475">
        <v>278.959991</v>
      </c>
      <c r="G475">
        <v>12970400</v>
      </c>
      <c r="H475" s="2">
        <f t="shared" si="7"/>
        <v>7.2575515902124632E-3</v>
      </c>
      <c r="I475" s="2">
        <f>VLOOKUP(A475,AAPL!A:H,8,)</f>
        <v>8.7204509689677856E-3</v>
      </c>
    </row>
    <row r="476" spans="1:9" x14ac:dyDescent="0.35">
      <c r="A476" s="1">
        <v>44152</v>
      </c>
      <c r="B476">
        <v>277.67999300000002</v>
      </c>
      <c r="C476">
        <v>277.67999300000002</v>
      </c>
      <c r="D476">
        <v>273.290009</v>
      </c>
      <c r="E476">
        <v>275</v>
      </c>
      <c r="F476">
        <v>275</v>
      </c>
      <c r="G476">
        <v>15040300</v>
      </c>
      <c r="H476" s="2">
        <f t="shared" si="7"/>
        <v>-1.4195551791511218E-2</v>
      </c>
      <c r="I476" s="2">
        <f>VLOOKUP(A476,AAPL!A:H,8,)</f>
        <v>-7.5644553392072433E-3</v>
      </c>
    </row>
    <row r="477" spans="1:9" x14ac:dyDescent="0.35">
      <c r="A477" s="1">
        <v>44153</v>
      </c>
      <c r="B477">
        <v>274.51998900000001</v>
      </c>
      <c r="C477">
        <v>277.39001500000001</v>
      </c>
      <c r="D477">
        <v>271.83999599999999</v>
      </c>
      <c r="E477">
        <v>271.97000100000002</v>
      </c>
      <c r="F477">
        <v>271.97000100000002</v>
      </c>
      <c r="G477">
        <v>12152900</v>
      </c>
      <c r="H477" s="2">
        <f t="shared" si="7"/>
        <v>-1.101817818181805E-2</v>
      </c>
      <c r="I477" s="2">
        <f>VLOOKUP(A477,AAPL!A:H,8,)</f>
        <v>-1.1391238892631161E-2</v>
      </c>
    </row>
    <row r="478" spans="1:9" x14ac:dyDescent="0.35">
      <c r="A478" s="1">
        <v>44154</v>
      </c>
      <c r="B478">
        <v>271.01998900000001</v>
      </c>
      <c r="C478">
        <v>273.47000100000002</v>
      </c>
      <c r="D478">
        <v>269.19000199999999</v>
      </c>
      <c r="E478">
        <v>272.94000199999999</v>
      </c>
      <c r="F478">
        <v>272.94000199999999</v>
      </c>
      <c r="G478">
        <v>12963700</v>
      </c>
      <c r="H478" s="2">
        <f t="shared" si="7"/>
        <v>3.5665735060241843E-3</v>
      </c>
      <c r="I478" s="2">
        <f>VLOOKUP(A478,AAPL!A:H,8,)</f>
        <v>5.1681776257577194E-3</v>
      </c>
    </row>
    <row r="479" spans="1:9" x14ac:dyDescent="0.35">
      <c r="A479" s="1">
        <v>44155</v>
      </c>
      <c r="B479">
        <v>272.55999800000001</v>
      </c>
      <c r="C479">
        <v>273</v>
      </c>
      <c r="D479">
        <v>269.41000400000001</v>
      </c>
      <c r="E479">
        <v>269.70001200000002</v>
      </c>
      <c r="F479">
        <v>269.70001200000002</v>
      </c>
      <c r="G479">
        <v>18114700</v>
      </c>
      <c r="H479" s="2">
        <f t="shared" si="7"/>
        <v>-1.1870704097085683E-2</v>
      </c>
      <c r="I479" s="2">
        <f>VLOOKUP(A479,AAPL!A:H,8,)</f>
        <v>-1.0957543922433866E-2</v>
      </c>
    </row>
    <row r="480" spans="1:9" x14ac:dyDescent="0.35">
      <c r="A480" s="1">
        <v>44158</v>
      </c>
      <c r="B480">
        <v>270.89001500000001</v>
      </c>
      <c r="C480">
        <v>270.95001200000002</v>
      </c>
      <c r="D480">
        <v>264.52999899999998</v>
      </c>
      <c r="E480">
        <v>268.42999300000002</v>
      </c>
      <c r="F480">
        <v>268.42999300000002</v>
      </c>
      <c r="G480">
        <v>20990800</v>
      </c>
      <c r="H480" s="2">
        <f t="shared" si="7"/>
        <v>-4.7090060937780009E-3</v>
      </c>
      <c r="I480" s="2">
        <f>VLOOKUP(A480,AAPL!A:H,8,)</f>
        <v>-2.9742612229166965E-2</v>
      </c>
    </row>
    <row r="481" spans="1:9" x14ac:dyDescent="0.35">
      <c r="A481" s="1">
        <v>44159</v>
      </c>
      <c r="B481">
        <v>268.48998999999998</v>
      </c>
      <c r="C481">
        <v>277.82000699999998</v>
      </c>
      <c r="D481">
        <v>267.86999500000002</v>
      </c>
      <c r="E481">
        <v>276.92001299999998</v>
      </c>
      <c r="F481">
        <v>276.92001299999998</v>
      </c>
      <c r="G481">
        <v>16930400</v>
      </c>
      <c r="H481" s="2">
        <f t="shared" si="7"/>
        <v>3.1628432818235686E-2</v>
      </c>
      <c r="I481" s="2">
        <f>VLOOKUP(A481,AAPL!A:H,8,)</f>
        <v>1.1594203102225809E-2</v>
      </c>
    </row>
    <row r="482" spans="1:9" x14ac:dyDescent="0.35">
      <c r="A482" s="1">
        <v>44160</v>
      </c>
      <c r="B482">
        <v>278.14001500000001</v>
      </c>
      <c r="C482">
        <v>280.17999300000002</v>
      </c>
      <c r="D482">
        <v>272.64999399999999</v>
      </c>
      <c r="E482">
        <v>275.58999599999999</v>
      </c>
      <c r="F482">
        <v>275.58999599999999</v>
      </c>
      <c r="G482">
        <v>12467000</v>
      </c>
      <c r="H482" s="2">
        <f t="shared" si="7"/>
        <v>-4.8028923066676388E-3</v>
      </c>
      <c r="I482" s="2">
        <f>VLOOKUP(A482,AAPL!A:H,8,)</f>
        <v>7.4672311794257151E-3</v>
      </c>
    </row>
    <row r="483" spans="1:9" x14ac:dyDescent="0.35">
      <c r="A483" s="1">
        <v>44162</v>
      </c>
      <c r="B483">
        <v>277.39001500000001</v>
      </c>
      <c r="C483">
        <v>279.13000499999998</v>
      </c>
      <c r="D483">
        <v>274.82000699999998</v>
      </c>
      <c r="E483">
        <v>277.80999800000001</v>
      </c>
      <c r="F483">
        <v>277.80999800000001</v>
      </c>
      <c r="G483">
        <v>7808400</v>
      </c>
      <c r="H483" s="2">
        <f t="shared" si="7"/>
        <v>8.0554520563946852E-3</v>
      </c>
      <c r="I483" s="2">
        <f>VLOOKUP(A483,AAPL!A:H,8,)</f>
        <v>4.826312202243388E-3</v>
      </c>
    </row>
    <row r="484" spans="1:9" x14ac:dyDescent="0.35">
      <c r="A484" s="1">
        <v>44165</v>
      </c>
      <c r="B484">
        <v>276.02999899999998</v>
      </c>
      <c r="C484">
        <v>277.70001200000002</v>
      </c>
      <c r="D484">
        <v>271.01001000000002</v>
      </c>
      <c r="E484">
        <v>276.97000100000002</v>
      </c>
      <c r="F484">
        <v>276.97000100000002</v>
      </c>
      <c r="G484">
        <v>16693300</v>
      </c>
      <c r="H484" s="2">
        <f t="shared" si="7"/>
        <v>-3.0236384797064364E-3</v>
      </c>
      <c r="I484" s="2">
        <f>VLOOKUP(A484,AAPL!A:H,8,)</f>
        <v>2.1099640487165061E-2</v>
      </c>
    </row>
    <row r="485" spans="1:9" x14ac:dyDescent="0.35">
      <c r="A485" s="1">
        <v>44166</v>
      </c>
      <c r="B485">
        <v>279.16000400000001</v>
      </c>
      <c r="C485">
        <v>289.29998799999998</v>
      </c>
      <c r="D485">
        <v>278.959991</v>
      </c>
      <c r="E485">
        <v>286.54998799999998</v>
      </c>
      <c r="F485">
        <v>286.54998799999998</v>
      </c>
      <c r="G485">
        <v>20738900</v>
      </c>
      <c r="H485" s="2">
        <f t="shared" si="7"/>
        <v>3.4588536539738701E-2</v>
      </c>
      <c r="I485" s="2">
        <f>VLOOKUP(A485,AAPL!A:H,8,)</f>
        <v>3.0827365875832902E-2</v>
      </c>
    </row>
    <row r="486" spans="1:9" x14ac:dyDescent="0.35">
      <c r="A486" s="1">
        <v>44167</v>
      </c>
      <c r="B486">
        <v>285.35998499999999</v>
      </c>
      <c r="C486">
        <v>291.77999899999998</v>
      </c>
      <c r="D486">
        <v>280.82998700000002</v>
      </c>
      <c r="E486">
        <v>287.51998900000001</v>
      </c>
      <c r="F486">
        <v>287.51998900000001</v>
      </c>
      <c r="G486">
        <v>17361600</v>
      </c>
      <c r="H486" s="2">
        <f t="shared" si="7"/>
        <v>3.385102218186109E-3</v>
      </c>
      <c r="I486" s="2">
        <f>VLOOKUP(A486,AAPL!A:H,8,)</f>
        <v>2.9335152955221044E-3</v>
      </c>
    </row>
    <row r="487" spans="1:9" x14ac:dyDescent="0.35">
      <c r="A487" s="1">
        <v>44168</v>
      </c>
      <c r="B487">
        <v>286.25</v>
      </c>
      <c r="C487">
        <v>286.64999399999999</v>
      </c>
      <c r="D487">
        <v>281.07000699999998</v>
      </c>
      <c r="E487">
        <v>281.85000600000001</v>
      </c>
      <c r="F487">
        <v>281.85000600000001</v>
      </c>
      <c r="G487">
        <v>12921700</v>
      </c>
      <c r="H487" s="2">
        <f t="shared" si="7"/>
        <v>-1.9720308906939987E-2</v>
      </c>
      <c r="I487" s="2">
        <f>VLOOKUP(A487,AAPL!A:H,8,)</f>
        <v>-1.1374715447273198E-3</v>
      </c>
    </row>
    <row r="488" spans="1:9" x14ac:dyDescent="0.35">
      <c r="A488" s="1">
        <v>44169</v>
      </c>
      <c r="B488">
        <v>280.29998799999998</v>
      </c>
      <c r="C488">
        <v>283.459991</v>
      </c>
      <c r="D488">
        <v>279.29998799999998</v>
      </c>
      <c r="E488">
        <v>279.70001200000002</v>
      </c>
      <c r="F488">
        <v>279.70001200000002</v>
      </c>
      <c r="G488">
        <v>10880300</v>
      </c>
      <c r="H488" s="2">
        <f t="shared" si="7"/>
        <v>-7.6281495626435714E-3</v>
      </c>
      <c r="I488" s="2">
        <f>VLOOKUP(A488,AAPL!A:H,8,)</f>
        <v>-5.6125100762566271E-3</v>
      </c>
    </row>
    <row r="489" spans="1:9" x14ac:dyDescent="0.35">
      <c r="A489" s="1">
        <v>44172</v>
      </c>
      <c r="B489">
        <v>279.19000199999999</v>
      </c>
      <c r="C489">
        <v>288.48998999999998</v>
      </c>
      <c r="D489">
        <v>278.20001200000002</v>
      </c>
      <c r="E489">
        <v>285.57998700000002</v>
      </c>
      <c r="F489">
        <v>285.57998700000002</v>
      </c>
      <c r="G489">
        <v>13007700</v>
      </c>
      <c r="H489" s="2">
        <f t="shared" si="7"/>
        <v>2.1022433849591682E-2</v>
      </c>
      <c r="I489" s="2">
        <f>VLOOKUP(A489,AAPL!A:H,8,)</f>
        <v>1.2269938650306678E-2</v>
      </c>
    </row>
    <row r="490" spans="1:9" x14ac:dyDescent="0.35">
      <c r="A490" s="1">
        <v>44173</v>
      </c>
      <c r="B490">
        <v>286.01001000000002</v>
      </c>
      <c r="C490">
        <v>286.42999300000002</v>
      </c>
      <c r="D490">
        <v>281.54998799999998</v>
      </c>
      <c r="E490">
        <v>283.39999399999999</v>
      </c>
      <c r="F490">
        <v>283.39999399999999</v>
      </c>
      <c r="G490">
        <v>10747700</v>
      </c>
      <c r="H490" s="2">
        <f t="shared" si="7"/>
        <v>-7.6335636222296666E-3</v>
      </c>
      <c r="I490" s="2">
        <f>VLOOKUP(A490,AAPL!A:H,8,)</f>
        <v>5.0908848484849667E-3</v>
      </c>
    </row>
    <row r="491" spans="1:9" x14ac:dyDescent="0.35">
      <c r="A491" s="1">
        <v>44174</v>
      </c>
      <c r="B491">
        <v>283.66000400000001</v>
      </c>
      <c r="C491">
        <v>287.63000499999998</v>
      </c>
      <c r="D491">
        <v>271.75</v>
      </c>
      <c r="E491">
        <v>277.92001299999998</v>
      </c>
      <c r="F491">
        <v>277.92001299999998</v>
      </c>
      <c r="G491">
        <v>25189700</v>
      </c>
      <c r="H491" s="2">
        <f t="shared" si="7"/>
        <v>-1.9336560042411355E-2</v>
      </c>
      <c r="I491" s="2">
        <f>VLOOKUP(A491,AAPL!A:H,8,)</f>
        <v>-2.0903666688462774E-2</v>
      </c>
    </row>
    <row r="492" spans="1:9" x14ac:dyDescent="0.35">
      <c r="A492" s="1">
        <v>44175</v>
      </c>
      <c r="B492">
        <v>275.540009</v>
      </c>
      <c r="C492">
        <v>278.73001099999999</v>
      </c>
      <c r="D492">
        <v>271.85998499999999</v>
      </c>
      <c r="E492">
        <v>277.11999500000002</v>
      </c>
      <c r="F492">
        <v>277.11999500000002</v>
      </c>
      <c r="G492">
        <v>20065100</v>
      </c>
      <c r="H492" s="2">
        <f t="shared" si="7"/>
        <v>-2.8785908267785487E-3</v>
      </c>
      <c r="I492" s="2">
        <f>VLOOKUP(A492,AAPL!A:H,8,)</f>
        <v>1.1988824207495696E-2</v>
      </c>
    </row>
    <row r="493" spans="1:9" x14ac:dyDescent="0.35">
      <c r="A493" s="1">
        <v>44176</v>
      </c>
      <c r="B493">
        <v>274.52999899999998</v>
      </c>
      <c r="C493">
        <v>276.48001099999999</v>
      </c>
      <c r="D493">
        <v>270.25</v>
      </c>
      <c r="E493">
        <v>273.54998799999998</v>
      </c>
      <c r="F493">
        <v>273.54998799999998</v>
      </c>
      <c r="G493">
        <v>14391400</v>
      </c>
      <c r="H493" s="2">
        <f t="shared" si="7"/>
        <v>-1.2882531265923425E-2</v>
      </c>
      <c r="I493" s="2">
        <f>VLOOKUP(A493,AAPL!A:H,8,)</f>
        <v>-6.7347777788830943E-3</v>
      </c>
    </row>
    <row r="494" spans="1:9" x14ac:dyDescent="0.35">
      <c r="A494" s="1">
        <v>44179</v>
      </c>
      <c r="B494">
        <v>273.36999500000002</v>
      </c>
      <c r="C494">
        <v>277.22000100000002</v>
      </c>
      <c r="D494">
        <v>271.55999800000001</v>
      </c>
      <c r="E494">
        <v>274.19000199999999</v>
      </c>
      <c r="F494">
        <v>274.19000199999999</v>
      </c>
      <c r="G494">
        <v>16376900</v>
      </c>
      <c r="H494" s="2">
        <f t="shared" si="7"/>
        <v>2.3396601282248408E-3</v>
      </c>
      <c r="I494" s="2">
        <f>VLOOKUP(A494,AAPL!A:H,8,)</f>
        <v>-5.1466790246980088E-3</v>
      </c>
    </row>
    <row r="495" spans="1:9" x14ac:dyDescent="0.35">
      <c r="A495" s="1">
        <v>44180</v>
      </c>
      <c r="B495">
        <v>274.82998700000002</v>
      </c>
      <c r="C495">
        <v>276.07998700000002</v>
      </c>
      <c r="D495">
        <v>267.47000100000002</v>
      </c>
      <c r="E495">
        <v>275.54998799999998</v>
      </c>
      <c r="F495">
        <v>275.54998799999998</v>
      </c>
      <c r="G495">
        <v>23979500</v>
      </c>
      <c r="H495" s="2">
        <f t="shared" si="7"/>
        <v>4.9600130934022157E-3</v>
      </c>
      <c r="I495" s="2">
        <f>VLOOKUP(A495,AAPL!A:H,8,)</f>
        <v>5.0090310807113791E-2</v>
      </c>
    </row>
    <row r="496" spans="1:9" x14ac:dyDescent="0.35">
      <c r="A496" s="1">
        <v>44181</v>
      </c>
      <c r="B496">
        <v>274.76001000000002</v>
      </c>
      <c r="C496">
        <v>277.85998499999999</v>
      </c>
      <c r="D496">
        <v>272.51001000000002</v>
      </c>
      <c r="E496">
        <v>275.67001299999998</v>
      </c>
      <c r="F496">
        <v>275.67001299999998</v>
      </c>
      <c r="G496">
        <v>15885000</v>
      </c>
      <c r="H496" s="2">
        <f t="shared" si="7"/>
        <v>4.3558339766658349E-4</v>
      </c>
      <c r="I496" s="2">
        <f>VLOOKUP(A496,AAPL!A:H,8,)</f>
        <v>-5.4738036942558743E-4</v>
      </c>
    </row>
    <row r="497" spans="1:9" x14ac:dyDescent="0.35">
      <c r="A497" s="1">
        <v>44182</v>
      </c>
      <c r="B497">
        <v>277.07000699999998</v>
      </c>
      <c r="C497">
        <v>280.44000199999999</v>
      </c>
      <c r="D497">
        <v>273.60998499999999</v>
      </c>
      <c r="E497">
        <v>274.48001099999999</v>
      </c>
      <c r="F497">
        <v>274.48001099999999</v>
      </c>
      <c r="G497">
        <v>16377800</v>
      </c>
      <c r="H497" s="2">
        <f t="shared" si="7"/>
        <v>-4.3167625925275566E-3</v>
      </c>
      <c r="I497" s="2">
        <f>VLOOKUP(A497,AAPL!A:H,8,)</f>
        <v>6.9634536728495622E-3</v>
      </c>
    </row>
    <row r="498" spans="1:9" x14ac:dyDescent="0.35">
      <c r="A498" s="1">
        <v>44183</v>
      </c>
      <c r="B498">
        <v>275.76998900000001</v>
      </c>
      <c r="C498">
        <v>278</v>
      </c>
      <c r="D498">
        <v>271.14001500000001</v>
      </c>
      <c r="E498">
        <v>276.39999399999999</v>
      </c>
      <c r="F498">
        <v>276.39999399999999</v>
      </c>
      <c r="G498">
        <v>26693200</v>
      </c>
      <c r="H498" s="2">
        <f t="shared" si="7"/>
        <v>6.9949829607081071E-3</v>
      </c>
      <c r="I498" s="2">
        <f>VLOOKUP(A498,AAPL!A:H,8,)</f>
        <v>-1.5850761830243032E-2</v>
      </c>
    </row>
    <row r="499" spans="1:9" x14ac:dyDescent="0.35">
      <c r="A499" s="1">
        <v>44186</v>
      </c>
      <c r="B499">
        <v>272.98001099999999</v>
      </c>
      <c r="C499">
        <v>274.67001299999998</v>
      </c>
      <c r="D499">
        <v>267.790009</v>
      </c>
      <c r="E499">
        <v>272.790009</v>
      </c>
      <c r="F499">
        <v>272.790009</v>
      </c>
      <c r="G499">
        <v>16553700</v>
      </c>
      <c r="H499" s="2">
        <f t="shared" si="7"/>
        <v>-1.3060727490464386E-2</v>
      </c>
      <c r="I499" s="2">
        <f>VLOOKUP(A499,AAPL!A:H,8,)</f>
        <v>1.2395325678341118E-2</v>
      </c>
    </row>
    <row r="500" spans="1:9" x14ac:dyDescent="0.35">
      <c r="A500" s="1">
        <v>44187</v>
      </c>
      <c r="B500">
        <v>271.5</v>
      </c>
      <c r="C500">
        <v>271.5</v>
      </c>
      <c r="D500">
        <v>264.63000499999998</v>
      </c>
      <c r="E500">
        <v>267.08999599999999</v>
      </c>
      <c r="F500">
        <v>267.08999599999999</v>
      </c>
      <c r="G500">
        <v>17312900</v>
      </c>
      <c r="H500" s="2">
        <f t="shared" si="7"/>
        <v>-2.0895241071677284E-2</v>
      </c>
      <c r="I500" s="2">
        <f>VLOOKUP(A500,AAPL!A:H,8,)</f>
        <v>2.8464548965594583E-2</v>
      </c>
    </row>
    <row r="501" spans="1:9" x14ac:dyDescent="0.35">
      <c r="A501" s="1">
        <v>44188</v>
      </c>
      <c r="B501">
        <v>266.89001500000001</v>
      </c>
      <c r="C501">
        <v>272.17001299999998</v>
      </c>
      <c r="D501">
        <v>266.23001099999999</v>
      </c>
      <c r="E501">
        <v>268.10998499999999</v>
      </c>
      <c r="F501">
        <v>268.10998499999999</v>
      </c>
      <c r="G501">
        <v>14329000</v>
      </c>
      <c r="H501" s="2">
        <f t="shared" si="7"/>
        <v>3.8188963093923611E-3</v>
      </c>
      <c r="I501" s="2">
        <f>VLOOKUP(A501,AAPL!A:H,8,)</f>
        <v>-6.9760233933872096E-3</v>
      </c>
    </row>
    <row r="502" spans="1:9" x14ac:dyDescent="0.35">
      <c r="A502" s="1">
        <v>44189</v>
      </c>
      <c r="B502">
        <v>268.88000499999998</v>
      </c>
      <c r="C502">
        <v>270.39999399999999</v>
      </c>
      <c r="D502">
        <v>266.20001200000002</v>
      </c>
      <c r="E502">
        <v>267.39999399999999</v>
      </c>
      <c r="F502">
        <v>267.39999399999999</v>
      </c>
      <c r="G502">
        <v>6702000</v>
      </c>
      <c r="H502" s="2">
        <f t="shared" si="7"/>
        <v>-2.6481333770541626E-3</v>
      </c>
      <c r="I502" s="2">
        <f>VLOOKUP(A502,AAPL!A:H,8,)</f>
        <v>7.7122323305924834E-3</v>
      </c>
    </row>
    <row r="503" spans="1:9" x14ac:dyDescent="0.35">
      <c r="A503" s="1">
        <v>44193</v>
      </c>
      <c r="B503">
        <v>268.73998999999998</v>
      </c>
      <c r="C503">
        <v>277.29998799999998</v>
      </c>
      <c r="D503">
        <v>265.66000400000001</v>
      </c>
      <c r="E503">
        <v>277</v>
      </c>
      <c r="F503">
        <v>277</v>
      </c>
      <c r="G503">
        <v>23299700</v>
      </c>
      <c r="H503" s="2">
        <f t="shared" si="7"/>
        <v>3.5901294747224366E-2</v>
      </c>
      <c r="I503" s="2">
        <f>VLOOKUP(A503,AAPL!A:H,8,)</f>
        <v>3.5765711633206632E-2</v>
      </c>
    </row>
    <row r="504" spans="1:9" x14ac:dyDescent="0.35">
      <c r="A504" s="1">
        <v>44194</v>
      </c>
      <c r="B504">
        <v>276.95001200000002</v>
      </c>
      <c r="C504">
        <v>280.51001000000002</v>
      </c>
      <c r="D504">
        <v>276.27999899999998</v>
      </c>
      <c r="E504">
        <v>276.77999899999998</v>
      </c>
      <c r="F504">
        <v>276.77999899999998</v>
      </c>
      <c r="G504">
        <v>16383000</v>
      </c>
      <c r="H504" s="2">
        <f t="shared" si="7"/>
        <v>-7.9422743682322494E-4</v>
      </c>
      <c r="I504" s="2">
        <f>VLOOKUP(A504,AAPL!A:H,8,)</f>
        <v>-1.3314850928160871E-2</v>
      </c>
    </row>
    <row r="505" spans="1:9" x14ac:dyDescent="0.35">
      <c r="A505" s="1">
        <v>44195</v>
      </c>
      <c r="B505">
        <v>277.95001200000002</v>
      </c>
      <c r="C505">
        <v>278.07998700000002</v>
      </c>
      <c r="D505">
        <v>271.709991</v>
      </c>
      <c r="E505">
        <v>271.86999500000002</v>
      </c>
      <c r="F505">
        <v>271.86999500000002</v>
      </c>
      <c r="G505">
        <v>11803800</v>
      </c>
      <c r="H505" s="2">
        <f t="shared" si="7"/>
        <v>-1.7739735594117012E-2</v>
      </c>
      <c r="I505" s="2">
        <f>VLOOKUP(A505,AAPL!A:H,8,)</f>
        <v>-8.5266852719909636E-3</v>
      </c>
    </row>
    <row r="506" spans="1:9" x14ac:dyDescent="0.35">
      <c r="A506" s="1">
        <v>44196</v>
      </c>
      <c r="B506">
        <v>272</v>
      </c>
      <c r="C506">
        <v>277.08999599999999</v>
      </c>
      <c r="D506">
        <v>269.80999800000001</v>
      </c>
      <c r="E506">
        <v>273.16000400000001</v>
      </c>
      <c r="F506">
        <v>273.16000400000001</v>
      </c>
      <c r="G506">
        <v>12900400</v>
      </c>
      <c r="H506" s="2">
        <f t="shared" si="7"/>
        <v>4.7449480403307653E-3</v>
      </c>
      <c r="I506" s="2">
        <f>VLOOKUP(A506,AAPL!A:H,8,)</f>
        <v>-7.7026547434740911E-3</v>
      </c>
    </row>
    <row r="507" spans="1:9" x14ac:dyDescent="0.35">
      <c r="A507" s="1">
        <v>44200</v>
      </c>
      <c r="B507">
        <v>274.77999899999998</v>
      </c>
      <c r="C507">
        <v>275</v>
      </c>
      <c r="D507">
        <v>265.20001200000002</v>
      </c>
      <c r="E507">
        <v>268.94000199999999</v>
      </c>
      <c r="F507">
        <v>268.94000199999999</v>
      </c>
      <c r="G507">
        <v>15106100</v>
      </c>
      <c r="H507" s="2">
        <f t="shared" si="7"/>
        <v>-1.5448828299182593E-2</v>
      </c>
      <c r="I507" s="2">
        <f>VLOOKUP(A507,AAPL!A:H,8,)</f>
        <v>-2.4719255034753917E-2</v>
      </c>
    </row>
    <row r="508" spans="1:9" x14ac:dyDescent="0.35">
      <c r="A508" s="1">
        <v>44201</v>
      </c>
      <c r="B508">
        <v>268.290009</v>
      </c>
      <c r="C508">
        <v>272.39999399999999</v>
      </c>
      <c r="D508">
        <v>268.209991</v>
      </c>
      <c r="E508">
        <v>270.97000100000002</v>
      </c>
      <c r="F508">
        <v>270.97000100000002</v>
      </c>
      <c r="G508">
        <v>9871600</v>
      </c>
      <c r="H508" s="2">
        <f t="shared" si="7"/>
        <v>7.5481482297306002E-3</v>
      </c>
      <c r="I508" s="2">
        <f>VLOOKUP(A508,AAPL!A:H,8,)</f>
        <v>1.2363735032417056E-2</v>
      </c>
    </row>
    <row r="509" spans="1:9" x14ac:dyDescent="0.35">
      <c r="A509" s="1">
        <v>44202</v>
      </c>
      <c r="B509">
        <v>262</v>
      </c>
      <c r="C509">
        <v>267.75</v>
      </c>
      <c r="D509">
        <v>260.01001000000002</v>
      </c>
      <c r="E509">
        <v>263.30999800000001</v>
      </c>
      <c r="F509">
        <v>263.30999800000001</v>
      </c>
      <c r="G509">
        <v>24354100</v>
      </c>
      <c r="H509" s="2">
        <f t="shared" si="7"/>
        <v>-2.8268823012625677E-2</v>
      </c>
      <c r="I509" s="2">
        <f>VLOOKUP(A509,AAPL!A:H,8,)</f>
        <v>-3.3661530938918105E-2</v>
      </c>
    </row>
    <row r="510" spans="1:9" x14ac:dyDescent="0.35">
      <c r="A510" s="1">
        <v>44203</v>
      </c>
      <c r="B510">
        <v>265.89999399999999</v>
      </c>
      <c r="C510">
        <v>271.60998499999999</v>
      </c>
      <c r="D510">
        <v>264.77999899999998</v>
      </c>
      <c r="E510">
        <v>268.73998999999998</v>
      </c>
      <c r="F510">
        <v>268.73998999999998</v>
      </c>
      <c r="G510">
        <v>15789800</v>
      </c>
      <c r="H510" s="2">
        <f t="shared" si="7"/>
        <v>2.0622050211705156E-2</v>
      </c>
      <c r="I510" s="2">
        <f>VLOOKUP(A510,AAPL!A:H,8,)</f>
        <v>3.4123223287886528E-2</v>
      </c>
    </row>
    <row r="511" spans="1:9" x14ac:dyDescent="0.35">
      <c r="A511" s="1">
        <v>44204</v>
      </c>
      <c r="B511">
        <v>268.30999800000001</v>
      </c>
      <c r="C511">
        <v>268.95001200000002</v>
      </c>
      <c r="D511">
        <v>263.17999300000002</v>
      </c>
      <c r="E511">
        <v>267.57000699999998</v>
      </c>
      <c r="F511">
        <v>267.57000699999998</v>
      </c>
      <c r="G511">
        <v>18528300</v>
      </c>
      <c r="H511" s="2">
        <f t="shared" si="7"/>
        <v>-4.353587272218018E-3</v>
      </c>
      <c r="I511" s="2">
        <f>VLOOKUP(A511,AAPL!A:H,8,)</f>
        <v>8.6312634987972814E-3</v>
      </c>
    </row>
    <row r="512" spans="1:9" x14ac:dyDescent="0.35">
      <c r="A512" s="1">
        <v>44207</v>
      </c>
      <c r="B512">
        <v>260.48001099999999</v>
      </c>
      <c r="C512">
        <v>263.47000100000002</v>
      </c>
      <c r="D512">
        <v>255.89999399999999</v>
      </c>
      <c r="E512">
        <v>256.83999599999999</v>
      </c>
      <c r="F512">
        <v>256.83999599999999</v>
      </c>
      <c r="G512">
        <v>30412300</v>
      </c>
      <c r="H512" s="2">
        <f t="shared" si="7"/>
        <v>-4.0101695703136042E-2</v>
      </c>
      <c r="I512" s="2">
        <f>VLOOKUP(A512,AAPL!A:H,8,)</f>
        <v>-2.3248821887569382E-2</v>
      </c>
    </row>
    <row r="513" spans="1:9" x14ac:dyDescent="0.35">
      <c r="A513" s="1">
        <v>44208</v>
      </c>
      <c r="B513">
        <v>256.63000499999998</v>
      </c>
      <c r="C513">
        <v>259.72000100000002</v>
      </c>
      <c r="D513">
        <v>250.300003</v>
      </c>
      <c r="E513">
        <v>251.08999600000001</v>
      </c>
      <c r="F513">
        <v>251.08999600000001</v>
      </c>
      <c r="G513">
        <v>26383500</v>
      </c>
      <c r="H513" s="2">
        <f t="shared" si="7"/>
        <v>-2.2387478934550287E-2</v>
      </c>
      <c r="I513" s="2">
        <f>VLOOKUP(A513,AAPL!A:H,8,)</f>
        <v>-1.3955109752057382E-3</v>
      </c>
    </row>
    <row r="514" spans="1:9" x14ac:dyDescent="0.35">
      <c r="A514" s="1">
        <v>44209</v>
      </c>
      <c r="B514">
        <v>251.550003</v>
      </c>
      <c r="C514">
        <v>253.949997</v>
      </c>
      <c r="D514">
        <v>249.199997</v>
      </c>
      <c r="E514">
        <v>251.63999899999999</v>
      </c>
      <c r="F514">
        <v>251.63999899999999</v>
      </c>
      <c r="G514">
        <v>19528900</v>
      </c>
      <c r="H514" s="2">
        <f t="shared" si="7"/>
        <v>2.190461622373796E-3</v>
      </c>
      <c r="I514" s="2">
        <f>VLOOKUP(A514,AAPL!A:H,8,)</f>
        <v>1.6226676640682891E-2</v>
      </c>
    </row>
    <row r="515" spans="1:9" x14ac:dyDescent="0.35">
      <c r="A515" s="1">
        <v>44210</v>
      </c>
      <c r="B515">
        <v>253.39999399999999</v>
      </c>
      <c r="C515">
        <v>255.029999</v>
      </c>
      <c r="D515">
        <v>244.61000100000001</v>
      </c>
      <c r="E515">
        <v>245.63999899999999</v>
      </c>
      <c r="F515">
        <v>245.63999899999999</v>
      </c>
      <c r="G515">
        <v>29739400</v>
      </c>
      <c r="H515" s="2">
        <f t="shared" si="7"/>
        <v>-2.3843586170098519E-2</v>
      </c>
      <c r="I515" s="2">
        <f>VLOOKUP(A515,AAPL!A:H,8,)</f>
        <v>-1.5127167966438759E-2</v>
      </c>
    </row>
    <row r="516" spans="1:9" x14ac:dyDescent="0.35">
      <c r="A516" s="1">
        <v>44211</v>
      </c>
      <c r="B516">
        <v>247.89999399999999</v>
      </c>
      <c r="C516">
        <v>253.86000100000001</v>
      </c>
      <c r="D516">
        <v>247.16000399999999</v>
      </c>
      <c r="E516">
        <v>251.36000100000001</v>
      </c>
      <c r="F516">
        <v>251.36000100000001</v>
      </c>
      <c r="G516">
        <v>24942900</v>
      </c>
      <c r="H516" s="2">
        <f t="shared" ref="H516:H579" si="8">E516/E515-1</f>
        <v>2.3286117990905852E-2</v>
      </c>
      <c r="I516" s="2">
        <f>VLOOKUP(A516,AAPL!A:H,8,)</f>
        <v>-1.3730548018600519E-2</v>
      </c>
    </row>
    <row r="517" spans="1:9" x14ac:dyDescent="0.35">
      <c r="A517" s="1">
        <v>44215</v>
      </c>
      <c r="B517">
        <v>256.89999399999999</v>
      </c>
      <c r="C517">
        <v>262.20001200000002</v>
      </c>
      <c r="D517">
        <v>252.720001</v>
      </c>
      <c r="E517">
        <v>261.10000600000001</v>
      </c>
      <c r="F517">
        <v>261.10000600000001</v>
      </c>
      <c r="G517">
        <v>28028500</v>
      </c>
      <c r="H517" s="2">
        <f t="shared" si="8"/>
        <v>3.874922406608361E-2</v>
      </c>
      <c r="I517" s="2">
        <f>VLOOKUP(A517,AAPL!A:H,8,)</f>
        <v>5.42711188789613E-3</v>
      </c>
    </row>
    <row r="518" spans="1:9" x14ac:dyDescent="0.35">
      <c r="A518" s="1">
        <v>44216</v>
      </c>
      <c r="B518">
        <v>268.92999300000002</v>
      </c>
      <c r="C518">
        <v>270.32000699999998</v>
      </c>
      <c r="D518">
        <v>263.60000600000001</v>
      </c>
      <c r="E518">
        <v>267.48001099999999</v>
      </c>
      <c r="F518">
        <v>267.48001099999999</v>
      </c>
      <c r="G518">
        <v>25199900</v>
      </c>
      <c r="H518" s="2">
        <f t="shared" si="8"/>
        <v>2.4435100932169274E-2</v>
      </c>
      <c r="I518" s="2">
        <f>VLOOKUP(A518,AAPL!A:H,8,)</f>
        <v>3.2856113074300142E-2</v>
      </c>
    </row>
    <row r="519" spans="1:9" x14ac:dyDescent="0.35">
      <c r="A519" s="1">
        <v>44217</v>
      </c>
      <c r="B519">
        <v>269.26001000000002</v>
      </c>
      <c r="C519">
        <v>273.60000600000001</v>
      </c>
      <c r="D519">
        <v>267.48998999999998</v>
      </c>
      <c r="E519">
        <v>272.86999500000002</v>
      </c>
      <c r="F519">
        <v>272.86999500000002</v>
      </c>
      <c r="G519">
        <v>20838700</v>
      </c>
      <c r="H519" s="2">
        <f t="shared" si="8"/>
        <v>2.0150978683786791E-2</v>
      </c>
      <c r="I519" s="2">
        <f>VLOOKUP(A519,AAPL!A:H,8,)</f>
        <v>3.6658305208348896E-2</v>
      </c>
    </row>
    <row r="520" spans="1:9" x14ac:dyDescent="0.35">
      <c r="A520" s="1">
        <v>44218</v>
      </c>
      <c r="B520">
        <v>272.01001000000002</v>
      </c>
      <c r="C520">
        <v>278.47000100000002</v>
      </c>
      <c r="D520">
        <v>272</v>
      </c>
      <c r="E520">
        <v>274.5</v>
      </c>
      <c r="F520">
        <v>274.5</v>
      </c>
      <c r="G520">
        <v>21954000</v>
      </c>
      <c r="H520" s="2">
        <f t="shared" si="8"/>
        <v>5.9735589469995798E-3</v>
      </c>
      <c r="I520" s="2">
        <f>VLOOKUP(A520,AAPL!A:H,8,)</f>
        <v>1.607373478752594E-2</v>
      </c>
    </row>
    <row r="521" spans="1:9" x14ac:dyDescent="0.35">
      <c r="A521" s="1">
        <v>44221</v>
      </c>
      <c r="B521">
        <v>278.14001500000001</v>
      </c>
      <c r="C521">
        <v>280.10000600000001</v>
      </c>
      <c r="D521">
        <v>271.51001000000002</v>
      </c>
      <c r="E521">
        <v>278.01001000000002</v>
      </c>
      <c r="F521">
        <v>278.01001000000002</v>
      </c>
      <c r="G521">
        <v>19087000</v>
      </c>
      <c r="H521" s="2">
        <f t="shared" si="8"/>
        <v>1.278692167577411E-2</v>
      </c>
      <c r="I521" s="2">
        <f>VLOOKUP(A521,AAPL!A:H,8,)</f>
        <v>2.7683834085087788E-2</v>
      </c>
    </row>
    <row r="522" spans="1:9" x14ac:dyDescent="0.35">
      <c r="A522" s="1">
        <v>44222</v>
      </c>
      <c r="B522">
        <v>278.14001500000001</v>
      </c>
      <c r="C522">
        <v>285.39001500000001</v>
      </c>
      <c r="D522">
        <v>277.80999800000001</v>
      </c>
      <c r="E522">
        <v>282.04998799999998</v>
      </c>
      <c r="F522">
        <v>282.04998799999998</v>
      </c>
      <c r="G522">
        <v>19373600</v>
      </c>
      <c r="H522" s="2">
        <f t="shared" si="8"/>
        <v>1.4531771715701858E-2</v>
      </c>
      <c r="I522" s="2">
        <f>VLOOKUP(A522,AAPL!A:H,8,)</f>
        <v>1.6793031301329808E-3</v>
      </c>
    </row>
    <row r="523" spans="1:9" x14ac:dyDescent="0.35">
      <c r="A523" s="1">
        <v>44223</v>
      </c>
      <c r="B523">
        <v>282.52999899999998</v>
      </c>
      <c r="C523">
        <v>283.45001200000002</v>
      </c>
      <c r="D523">
        <v>268.11999500000002</v>
      </c>
      <c r="E523">
        <v>272.14001500000001</v>
      </c>
      <c r="F523">
        <v>272.14001500000001</v>
      </c>
      <c r="G523">
        <v>35346200</v>
      </c>
      <c r="H523" s="2">
        <f t="shared" si="8"/>
        <v>-3.5135520019947575E-2</v>
      </c>
      <c r="I523" s="2">
        <f>VLOOKUP(A523,AAPL!A:H,8,)</f>
        <v>-7.6837522301269612E-3</v>
      </c>
    </row>
    <row r="524" spans="1:9" x14ac:dyDescent="0.35">
      <c r="A524" s="1">
        <v>44224</v>
      </c>
      <c r="B524">
        <v>277.17999300000002</v>
      </c>
      <c r="C524">
        <v>286.790009</v>
      </c>
      <c r="D524">
        <v>264.70001200000002</v>
      </c>
      <c r="E524">
        <v>265</v>
      </c>
      <c r="F524">
        <v>265</v>
      </c>
      <c r="G524">
        <v>37758800</v>
      </c>
      <c r="H524" s="2">
        <f t="shared" si="8"/>
        <v>-2.6236549593781744E-2</v>
      </c>
      <c r="I524" s="2">
        <f>VLOOKUP(A524,AAPL!A:H,8,)</f>
        <v>-3.4985232084826512E-2</v>
      </c>
    </row>
    <row r="525" spans="1:9" x14ac:dyDescent="0.35">
      <c r="A525" s="1">
        <v>44225</v>
      </c>
      <c r="B525">
        <v>265.29998799999998</v>
      </c>
      <c r="C525">
        <v>266.55999800000001</v>
      </c>
      <c r="D525">
        <v>254.85000600000001</v>
      </c>
      <c r="E525">
        <v>258.32998700000002</v>
      </c>
      <c r="F525">
        <v>258.32998700000002</v>
      </c>
      <c r="G525">
        <v>30389500</v>
      </c>
      <c r="H525" s="2">
        <f t="shared" si="8"/>
        <v>-2.5169860377358466E-2</v>
      </c>
      <c r="I525" s="2">
        <f>VLOOKUP(A525,AAPL!A:H,8,)</f>
        <v>-3.7420593403475033E-2</v>
      </c>
    </row>
    <row r="526" spans="1:9" x14ac:dyDescent="0.35">
      <c r="A526" s="1">
        <v>44228</v>
      </c>
      <c r="B526">
        <v>259.51998900000001</v>
      </c>
      <c r="C526">
        <v>264.17001299999998</v>
      </c>
      <c r="D526">
        <v>254.91000399999999</v>
      </c>
      <c r="E526">
        <v>262.01001000000002</v>
      </c>
      <c r="F526">
        <v>262.01001000000002</v>
      </c>
      <c r="G526">
        <v>22914300</v>
      </c>
      <c r="H526" s="2">
        <f t="shared" si="8"/>
        <v>1.4245434851510419E-2</v>
      </c>
      <c r="I526" s="2">
        <f>VLOOKUP(A526,AAPL!A:H,8,)</f>
        <v>1.6520096122759398E-2</v>
      </c>
    </row>
    <row r="527" spans="1:9" x14ac:dyDescent="0.35">
      <c r="A527" s="1">
        <v>44229</v>
      </c>
      <c r="B527">
        <v>264</v>
      </c>
      <c r="C527">
        <v>268.85000600000001</v>
      </c>
      <c r="D527">
        <v>263.26998900000001</v>
      </c>
      <c r="E527">
        <v>267.07998700000002</v>
      </c>
      <c r="F527">
        <v>267.07998700000002</v>
      </c>
      <c r="G527">
        <v>17320800</v>
      </c>
      <c r="H527" s="2">
        <f t="shared" si="8"/>
        <v>1.935031795159281E-2</v>
      </c>
      <c r="I527" s="2">
        <f>VLOOKUP(A527,AAPL!A:H,8,)</f>
        <v>6.3367079643410484E-3</v>
      </c>
    </row>
    <row r="528" spans="1:9" x14ac:dyDescent="0.35">
      <c r="A528" s="1">
        <v>44230</v>
      </c>
      <c r="B528">
        <v>265.61999500000002</v>
      </c>
      <c r="C528">
        <v>269.20001200000002</v>
      </c>
      <c r="D528">
        <v>263.83999599999999</v>
      </c>
      <c r="E528">
        <v>266.64999399999999</v>
      </c>
      <c r="F528">
        <v>266.64999399999999</v>
      </c>
      <c r="G528">
        <v>14223400</v>
      </c>
      <c r="H528" s="2">
        <f t="shared" si="8"/>
        <v>-1.609978362025366E-3</v>
      </c>
      <c r="I528" s="2">
        <f>VLOOKUP(A528,AAPL!A:H,8,)</f>
        <v>-7.7783758879037546E-3</v>
      </c>
    </row>
    <row r="529" spans="1:9" x14ac:dyDescent="0.35">
      <c r="A529" s="1">
        <v>44231</v>
      </c>
      <c r="B529">
        <v>267.01001000000002</v>
      </c>
      <c r="C529">
        <v>268.16000400000001</v>
      </c>
      <c r="D529">
        <v>264</v>
      </c>
      <c r="E529">
        <v>266.48998999999998</v>
      </c>
      <c r="F529">
        <v>266.48998999999998</v>
      </c>
      <c r="G529">
        <v>16060000</v>
      </c>
      <c r="H529" s="2">
        <f t="shared" si="8"/>
        <v>-6.0005251678352245E-4</v>
      </c>
      <c r="I529" s="2">
        <f>VLOOKUP(A529,AAPL!A:H,8,)</f>
        <v>2.5757779218190446E-2</v>
      </c>
    </row>
    <row r="530" spans="1:9" x14ac:dyDescent="0.35">
      <c r="A530" s="1">
        <v>44232</v>
      </c>
      <c r="B530">
        <v>266.79998799999998</v>
      </c>
      <c r="C530">
        <v>269.17001299999998</v>
      </c>
      <c r="D530">
        <v>265.67001299999998</v>
      </c>
      <c r="E530">
        <v>268.10000600000001</v>
      </c>
      <c r="F530">
        <v>268.10000600000001</v>
      </c>
      <c r="G530">
        <v>12454400</v>
      </c>
      <c r="H530" s="2">
        <f t="shared" si="8"/>
        <v>6.041562761888386E-3</v>
      </c>
      <c r="I530" s="2">
        <f>VLOOKUP(A530,AAPL!A:H,8,)</f>
        <v>-4.5855157186512896E-3</v>
      </c>
    </row>
    <row r="531" spans="1:9" x14ac:dyDescent="0.35">
      <c r="A531" s="1">
        <v>44235</v>
      </c>
      <c r="B531">
        <v>268.75</v>
      </c>
      <c r="C531">
        <v>269.85998499999999</v>
      </c>
      <c r="D531">
        <v>265</v>
      </c>
      <c r="E531">
        <v>266.57998700000002</v>
      </c>
      <c r="F531">
        <v>266.57998700000002</v>
      </c>
      <c r="G531">
        <v>13755200</v>
      </c>
      <c r="H531" s="2">
        <f t="shared" si="8"/>
        <v>-5.6695970383529026E-3</v>
      </c>
      <c r="I531" s="2">
        <f>VLOOKUP(A531,AAPL!A:H,8,)</f>
        <v>1.0968777821320774E-3</v>
      </c>
    </row>
    <row r="532" spans="1:9" x14ac:dyDescent="0.35">
      <c r="A532" s="1">
        <v>44236</v>
      </c>
      <c r="B532">
        <v>266.44000199999999</v>
      </c>
      <c r="C532">
        <v>273.39001500000001</v>
      </c>
      <c r="D532">
        <v>265.75</v>
      </c>
      <c r="E532">
        <v>269.45001200000002</v>
      </c>
      <c r="F532">
        <v>269.45001200000002</v>
      </c>
      <c r="G532">
        <v>14613400</v>
      </c>
      <c r="H532" s="2">
        <f t="shared" si="8"/>
        <v>1.0766093255154985E-2</v>
      </c>
      <c r="I532" s="2">
        <f>VLOOKUP(A532,AAPL!A:H,8,)</f>
        <v>-6.573727074027258E-3</v>
      </c>
    </row>
    <row r="533" spans="1:9" x14ac:dyDescent="0.35">
      <c r="A533" s="1">
        <v>44237</v>
      </c>
      <c r="B533">
        <v>272.45001200000002</v>
      </c>
      <c r="C533">
        <v>273.79998799999998</v>
      </c>
      <c r="D533">
        <v>267.72000100000002</v>
      </c>
      <c r="E533">
        <v>271.86999500000002</v>
      </c>
      <c r="F533">
        <v>271.86999500000002</v>
      </c>
      <c r="G533">
        <v>14687200</v>
      </c>
      <c r="H533" s="2">
        <f t="shared" si="8"/>
        <v>8.9811946269275911E-3</v>
      </c>
      <c r="I533" s="2">
        <f>VLOOKUP(A533,AAPL!A:H,8,)</f>
        <v>-4.5584591044210976E-3</v>
      </c>
    </row>
    <row r="534" spans="1:9" x14ac:dyDescent="0.35">
      <c r="A534" s="1">
        <v>44238</v>
      </c>
      <c r="B534">
        <v>271.89001500000001</v>
      </c>
      <c r="C534">
        <v>273.57998700000002</v>
      </c>
      <c r="D534">
        <v>268.48998999999998</v>
      </c>
      <c r="E534">
        <v>270.39001500000001</v>
      </c>
      <c r="F534">
        <v>270.39001500000001</v>
      </c>
      <c r="G534">
        <v>12828600</v>
      </c>
      <c r="H534" s="2">
        <f t="shared" si="8"/>
        <v>-5.4437048119267972E-3</v>
      </c>
      <c r="I534" s="2">
        <f>VLOOKUP(A534,AAPL!A:H,8,)</f>
        <v>-1.9203338645418233E-3</v>
      </c>
    </row>
    <row r="535" spans="1:9" x14ac:dyDescent="0.35">
      <c r="A535" s="1">
        <v>44239</v>
      </c>
      <c r="B535">
        <v>270.51998900000001</v>
      </c>
      <c r="C535">
        <v>271.17999300000002</v>
      </c>
      <c r="D535">
        <v>268.33999599999999</v>
      </c>
      <c r="E535">
        <v>270.5</v>
      </c>
      <c r="F535">
        <v>270.5</v>
      </c>
      <c r="G535">
        <v>9097600</v>
      </c>
      <c r="H535" s="2">
        <f t="shared" si="8"/>
        <v>4.0676428084807092E-4</v>
      </c>
      <c r="I535" s="2">
        <f>VLOOKUP(A535,AAPL!A:H,8,)</f>
        <v>1.7759934220380469E-3</v>
      </c>
    </row>
    <row r="536" spans="1:9" x14ac:dyDescent="0.35">
      <c r="A536" s="1">
        <v>44243</v>
      </c>
      <c r="B536">
        <v>270.79998799999998</v>
      </c>
      <c r="C536">
        <v>276.60000600000001</v>
      </c>
      <c r="D536">
        <v>270.04998799999998</v>
      </c>
      <c r="E536">
        <v>273.97000100000002</v>
      </c>
      <c r="F536">
        <v>273.97000100000002</v>
      </c>
      <c r="G536">
        <v>15417200</v>
      </c>
      <c r="H536" s="2">
        <f t="shared" si="8"/>
        <v>1.2828099815157312E-2</v>
      </c>
      <c r="I536" s="2">
        <f>VLOOKUP(A536,AAPL!A:H,8,)</f>
        <v>-1.6103960113169835E-2</v>
      </c>
    </row>
    <row r="537" spans="1:9" x14ac:dyDescent="0.35">
      <c r="A537" s="1">
        <v>44244</v>
      </c>
      <c r="B537">
        <v>271.23998999999998</v>
      </c>
      <c r="C537">
        <v>273.97000100000002</v>
      </c>
      <c r="D537">
        <v>269.57998700000002</v>
      </c>
      <c r="E537">
        <v>273.57000699999998</v>
      </c>
      <c r="F537">
        <v>273.57000699999998</v>
      </c>
      <c r="G537">
        <v>12763200</v>
      </c>
      <c r="H537" s="2">
        <f t="shared" si="8"/>
        <v>-1.4599919645948978E-3</v>
      </c>
      <c r="I537" s="2">
        <f>VLOOKUP(A537,AAPL!A:H,8,)</f>
        <v>-1.764401204829158E-2</v>
      </c>
    </row>
    <row r="538" spans="1:9" x14ac:dyDescent="0.35">
      <c r="A538" s="1">
        <v>44245</v>
      </c>
      <c r="B538">
        <v>269.57000699999998</v>
      </c>
      <c r="C538">
        <v>271.95001200000002</v>
      </c>
      <c r="D538">
        <v>266.02999899999998</v>
      </c>
      <c r="E538">
        <v>269.39001500000001</v>
      </c>
      <c r="F538">
        <v>269.39001500000001</v>
      </c>
      <c r="G538">
        <v>15249100</v>
      </c>
      <c r="H538" s="2">
        <f t="shared" si="8"/>
        <v>-1.5279423522476909E-2</v>
      </c>
      <c r="I538" s="2">
        <f>VLOOKUP(A538,AAPL!A:H,8,)</f>
        <v>-8.6364187904746093E-3</v>
      </c>
    </row>
    <row r="539" spans="1:9" x14ac:dyDescent="0.35">
      <c r="A539" s="1">
        <v>44246</v>
      </c>
      <c r="B539">
        <v>269.85998499999999</v>
      </c>
      <c r="C539">
        <v>270.26998900000001</v>
      </c>
      <c r="D539">
        <v>260.14999399999999</v>
      </c>
      <c r="E539">
        <v>261.55999800000001</v>
      </c>
      <c r="F539">
        <v>261.55999800000001</v>
      </c>
      <c r="G539">
        <v>25622600</v>
      </c>
      <c r="H539" s="2">
        <f t="shared" si="8"/>
        <v>-2.9065728364134014E-2</v>
      </c>
      <c r="I539" s="2">
        <f>VLOOKUP(A539,AAPL!A:H,8,)</f>
        <v>1.2334283506745258E-3</v>
      </c>
    </row>
    <row r="540" spans="1:9" x14ac:dyDescent="0.35">
      <c r="A540" s="1">
        <v>44249</v>
      </c>
      <c r="B540">
        <v>257.95001200000002</v>
      </c>
      <c r="C540">
        <v>263.07000699999998</v>
      </c>
      <c r="D540">
        <v>257.52999899999998</v>
      </c>
      <c r="E540">
        <v>260.32998700000002</v>
      </c>
      <c r="F540">
        <v>260.32998700000002</v>
      </c>
      <c r="G540">
        <v>17434900</v>
      </c>
      <c r="H540" s="2">
        <f t="shared" si="8"/>
        <v>-4.7025959986434218E-3</v>
      </c>
      <c r="I540" s="2">
        <f>VLOOKUP(A540,AAPL!A:H,8,)</f>
        <v>-2.9798992446253614E-2</v>
      </c>
    </row>
    <row r="541" spans="1:9" x14ac:dyDescent="0.35">
      <c r="A541" s="1">
        <v>44250</v>
      </c>
      <c r="B541">
        <v>259.5</v>
      </c>
      <c r="C541">
        <v>267.459991</v>
      </c>
      <c r="D541">
        <v>254.96000699999999</v>
      </c>
      <c r="E541">
        <v>265.85998499999999</v>
      </c>
      <c r="F541">
        <v>265.85998499999999</v>
      </c>
      <c r="G541">
        <v>21924600</v>
      </c>
      <c r="H541" s="2">
        <f t="shared" si="8"/>
        <v>2.1242262805475365E-2</v>
      </c>
      <c r="I541" s="2">
        <f>VLOOKUP(A541,AAPL!A:H,8,)</f>
        <v>-1.1111031746031674E-3</v>
      </c>
    </row>
    <row r="542" spans="1:9" x14ac:dyDescent="0.35">
      <c r="A542" s="1">
        <v>44251</v>
      </c>
      <c r="B542">
        <v>262.32998700000002</v>
      </c>
      <c r="C542">
        <v>266.38000499999998</v>
      </c>
      <c r="D542">
        <v>258.39001500000001</v>
      </c>
      <c r="E542">
        <v>264.30999800000001</v>
      </c>
      <c r="F542">
        <v>264.30999800000001</v>
      </c>
      <c r="G542">
        <v>15736100</v>
      </c>
      <c r="H542" s="2">
        <f t="shared" si="8"/>
        <v>-5.8300875929109264E-3</v>
      </c>
      <c r="I542" s="2">
        <f>VLOOKUP(A542,AAPL!A:H,8,)</f>
        <v>-4.0521452085480192E-3</v>
      </c>
    </row>
    <row r="543" spans="1:9" x14ac:dyDescent="0.35">
      <c r="A543" s="1">
        <v>44252</v>
      </c>
      <c r="B543">
        <v>262.29998799999998</v>
      </c>
      <c r="C543">
        <v>266.94000199999999</v>
      </c>
      <c r="D543">
        <v>254.03999300000001</v>
      </c>
      <c r="E543">
        <v>254.69000199999999</v>
      </c>
      <c r="F543">
        <v>254.69000199999999</v>
      </c>
      <c r="G543">
        <v>19053100</v>
      </c>
      <c r="H543" s="2">
        <f t="shared" si="8"/>
        <v>-3.6396640584137163E-2</v>
      </c>
      <c r="I543" s="2">
        <f>VLOOKUP(A543,AAPL!A:H,8,)</f>
        <v>-3.4782609250620045E-2</v>
      </c>
    </row>
    <row r="544" spans="1:9" x14ac:dyDescent="0.35">
      <c r="A544" s="1">
        <v>44253</v>
      </c>
      <c r="B544">
        <v>256.47000100000002</v>
      </c>
      <c r="C544">
        <v>265.54998799999998</v>
      </c>
      <c r="D544">
        <v>256.47000100000002</v>
      </c>
      <c r="E544">
        <v>257.61999500000002</v>
      </c>
      <c r="F544">
        <v>257.61999500000002</v>
      </c>
      <c r="G544">
        <v>26619500</v>
      </c>
      <c r="H544" s="2">
        <f t="shared" si="8"/>
        <v>1.1504153979314813E-2</v>
      </c>
      <c r="I544" s="2">
        <f>VLOOKUP(A544,AAPL!A:H,8,)</f>
        <v>2.2316224850256194E-3</v>
      </c>
    </row>
    <row r="545" spans="1:9" x14ac:dyDescent="0.35">
      <c r="A545" s="1">
        <v>44256</v>
      </c>
      <c r="B545">
        <v>260.82000699999998</v>
      </c>
      <c r="C545">
        <v>266.64999399999999</v>
      </c>
      <c r="D545">
        <v>257.89999399999999</v>
      </c>
      <c r="E545">
        <v>264.91000400000001</v>
      </c>
      <c r="F545">
        <v>264.91000400000001</v>
      </c>
      <c r="G545">
        <v>22157300</v>
      </c>
      <c r="H545" s="2">
        <f t="shared" si="8"/>
        <v>2.8297527915098319E-2</v>
      </c>
      <c r="I545" s="2">
        <f>VLOOKUP(A545,AAPL!A:H,8,)</f>
        <v>5.3851219629701186E-2</v>
      </c>
    </row>
    <row r="546" spans="1:9" x14ac:dyDescent="0.35">
      <c r="A546" s="1">
        <v>44257</v>
      </c>
      <c r="B546">
        <v>265.77999899999998</v>
      </c>
      <c r="C546">
        <v>266.709991</v>
      </c>
      <c r="D546">
        <v>258.64999399999999</v>
      </c>
      <c r="E546">
        <v>259</v>
      </c>
      <c r="F546">
        <v>259</v>
      </c>
      <c r="G546">
        <v>15191700</v>
      </c>
      <c r="H546" s="2">
        <f t="shared" si="8"/>
        <v>-2.2309478354014978E-2</v>
      </c>
      <c r="I546" s="2">
        <f>VLOOKUP(A546,AAPL!A:H,8,)</f>
        <v>-2.0893637836343792E-2</v>
      </c>
    </row>
    <row r="547" spans="1:9" x14ac:dyDescent="0.35">
      <c r="A547" s="1">
        <v>44258</v>
      </c>
      <c r="B547">
        <v>260.290009</v>
      </c>
      <c r="C547">
        <v>260.98998999999998</v>
      </c>
      <c r="D547">
        <v>255.10000600000001</v>
      </c>
      <c r="E547">
        <v>255.41000399999999</v>
      </c>
      <c r="F547">
        <v>255.41000399999999</v>
      </c>
      <c r="G547">
        <v>15513500</v>
      </c>
      <c r="H547" s="2">
        <f t="shared" si="8"/>
        <v>-1.3860988416988462E-2</v>
      </c>
      <c r="I547" s="2">
        <f>VLOOKUP(A547,AAPL!A:H,8,)</f>
        <v>-2.4456561114372777E-2</v>
      </c>
    </row>
    <row r="548" spans="1:9" x14ac:dyDescent="0.35">
      <c r="A548" s="1">
        <v>44259</v>
      </c>
      <c r="B548">
        <v>256.47000100000002</v>
      </c>
      <c r="C548">
        <v>266.48998999999998</v>
      </c>
      <c r="D548">
        <v>253.5</v>
      </c>
      <c r="E548">
        <v>257.64001500000001</v>
      </c>
      <c r="F548">
        <v>257.64001500000001</v>
      </c>
      <c r="G548">
        <v>31626500</v>
      </c>
      <c r="H548" s="2">
        <f t="shared" si="8"/>
        <v>8.7311027958012488E-3</v>
      </c>
      <c r="I548" s="2">
        <f>VLOOKUP(A548,AAPL!A:H,8,)</f>
        <v>-1.5811904240732422E-2</v>
      </c>
    </row>
    <row r="549" spans="1:9" x14ac:dyDescent="0.35">
      <c r="A549" s="1">
        <v>44260</v>
      </c>
      <c r="B549">
        <v>260.67001299999998</v>
      </c>
      <c r="C549">
        <v>265.45001200000002</v>
      </c>
      <c r="D549">
        <v>255.61000100000001</v>
      </c>
      <c r="E549">
        <v>264.27999899999998</v>
      </c>
      <c r="F549">
        <v>264.27999899999998</v>
      </c>
      <c r="G549">
        <v>26820100</v>
      </c>
      <c r="H549" s="2">
        <f t="shared" si="8"/>
        <v>2.5772331988103581E-2</v>
      </c>
      <c r="I549" s="2">
        <f>VLOOKUP(A549,AAPL!A:H,8,)</f>
        <v>1.0738375361817543E-2</v>
      </c>
    </row>
    <row r="550" spans="1:9" x14ac:dyDescent="0.35">
      <c r="A550" s="1">
        <v>44263</v>
      </c>
      <c r="B550">
        <v>265.54998799999998</v>
      </c>
      <c r="C550">
        <v>265.57998700000002</v>
      </c>
      <c r="D550">
        <v>255.050003</v>
      </c>
      <c r="E550">
        <v>255.30999800000001</v>
      </c>
      <c r="F550">
        <v>255.30999800000001</v>
      </c>
      <c r="G550">
        <v>18391800</v>
      </c>
      <c r="H550" s="2">
        <f t="shared" si="8"/>
        <v>-3.3941278318227797E-2</v>
      </c>
      <c r="I550" s="2">
        <f>VLOOKUP(A550,AAPL!A:H,8,)</f>
        <v>-4.1673505875037264E-2</v>
      </c>
    </row>
    <row r="551" spans="1:9" x14ac:dyDescent="0.35">
      <c r="A551" s="1">
        <v>44264</v>
      </c>
      <c r="B551">
        <v>261.17999300000002</v>
      </c>
      <c r="C551">
        <v>268.52999899999998</v>
      </c>
      <c r="D551">
        <v>259.80999800000001</v>
      </c>
      <c r="E551">
        <v>265.73998999999998</v>
      </c>
      <c r="F551">
        <v>265.73998999999998</v>
      </c>
      <c r="G551">
        <v>22039700</v>
      </c>
      <c r="H551" s="2">
        <f t="shared" si="8"/>
        <v>4.0852266192881181E-2</v>
      </c>
      <c r="I551" s="2">
        <f>VLOOKUP(A551,AAPL!A:H,8,)</f>
        <v>4.0649664483932035E-2</v>
      </c>
    </row>
    <row r="552" spans="1:9" x14ac:dyDescent="0.35">
      <c r="A552" s="1">
        <v>44265</v>
      </c>
      <c r="B552">
        <v>268.64001500000001</v>
      </c>
      <c r="C552">
        <v>268.97000100000002</v>
      </c>
      <c r="D552">
        <v>262.86999500000002</v>
      </c>
      <c r="E552">
        <v>264.89999399999999</v>
      </c>
      <c r="F552">
        <v>264.89999399999999</v>
      </c>
      <c r="G552">
        <v>14210300</v>
      </c>
      <c r="H552" s="2">
        <f t="shared" si="8"/>
        <v>-3.1609694875053274E-3</v>
      </c>
      <c r="I552" s="2">
        <f>VLOOKUP(A552,AAPL!A:H,8,)</f>
        <v>-9.1666779805658072E-3</v>
      </c>
    </row>
    <row r="553" spans="1:9" x14ac:dyDescent="0.35">
      <c r="A553" s="1">
        <v>44266</v>
      </c>
      <c r="B553">
        <v>268.10998499999999</v>
      </c>
      <c r="C553">
        <v>277.89999399999999</v>
      </c>
      <c r="D553">
        <v>267.82000699999998</v>
      </c>
      <c r="E553">
        <v>273.88000499999998</v>
      </c>
      <c r="F553">
        <v>273.88000499999998</v>
      </c>
      <c r="G553">
        <v>21834000</v>
      </c>
      <c r="H553" s="2">
        <f t="shared" si="8"/>
        <v>3.3899627041894087E-2</v>
      </c>
      <c r="I553" s="2">
        <f>VLOOKUP(A553,AAPL!A:H,8,)</f>
        <v>1.6502716706883191E-2</v>
      </c>
    </row>
    <row r="554" spans="1:9" x14ac:dyDescent="0.35">
      <c r="A554" s="1">
        <v>44267</v>
      </c>
      <c r="B554">
        <v>269.14001500000001</v>
      </c>
      <c r="C554">
        <v>269.73998999999998</v>
      </c>
      <c r="D554">
        <v>264.01998900000001</v>
      </c>
      <c r="E554">
        <v>268.39999399999999</v>
      </c>
      <c r="F554">
        <v>268.39999399999999</v>
      </c>
      <c r="G554">
        <v>20600200</v>
      </c>
      <c r="H554" s="2">
        <f t="shared" si="8"/>
        <v>-2.0008802760172251E-2</v>
      </c>
      <c r="I554" s="2">
        <f>VLOOKUP(A554,AAPL!A:H,8,)</f>
        <v>-7.6254510300545197E-3</v>
      </c>
    </row>
    <row r="555" spans="1:9" x14ac:dyDescent="0.35">
      <c r="A555" s="1">
        <v>44270</v>
      </c>
      <c r="B555">
        <v>269.07998700000002</v>
      </c>
      <c r="C555">
        <v>275.959991</v>
      </c>
      <c r="D555">
        <v>268.5</v>
      </c>
      <c r="E555">
        <v>273.75</v>
      </c>
      <c r="F555">
        <v>273.75</v>
      </c>
      <c r="G555">
        <v>16844800</v>
      </c>
      <c r="H555" s="2">
        <f t="shared" si="8"/>
        <v>1.9932958716832205E-2</v>
      </c>
      <c r="I555" s="2">
        <f>VLOOKUP(A555,AAPL!A:H,8,)</f>
        <v>2.4456738200914874E-2</v>
      </c>
    </row>
    <row r="556" spans="1:9" x14ac:dyDescent="0.35">
      <c r="A556" s="1">
        <v>44271</v>
      </c>
      <c r="B556">
        <v>276.07998700000002</v>
      </c>
      <c r="C556">
        <v>282.14001500000001</v>
      </c>
      <c r="D556">
        <v>274.79998799999998</v>
      </c>
      <c r="E556">
        <v>279.27999899999998</v>
      </c>
      <c r="F556">
        <v>279.27999899999998</v>
      </c>
      <c r="G556">
        <v>22437700</v>
      </c>
      <c r="H556" s="2">
        <f t="shared" si="8"/>
        <v>2.0200909589040972E-2</v>
      </c>
      <c r="I556" s="2">
        <f>VLOOKUP(A556,AAPL!A:H,8,)</f>
        <v>1.274297947807046E-2</v>
      </c>
    </row>
    <row r="557" spans="1:9" x14ac:dyDescent="0.35">
      <c r="A557" s="1">
        <v>44272</v>
      </c>
      <c r="B557">
        <v>275.709991</v>
      </c>
      <c r="C557">
        <v>286.23001099999999</v>
      </c>
      <c r="D557">
        <v>275.41000400000001</v>
      </c>
      <c r="E557">
        <v>284.01001000000002</v>
      </c>
      <c r="F557">
        <v>284.01001000000002</v>
      </c>
      <c r="G557">
        <v>21315000</v>
      </c>
      <c r="H557" s="2">
        <f t="shared" si="8"/>
        <v>1.6936447353682604E-2</v>
      </c>
      <c r="I557" s="2">
        <f>VLOOKUP(A557,AAPL!A:H,8,)</f>
        <v>-6.4505694035198458E-3</v>
      </c>
    </row>
    <row r="558" spans="1:9" x14ac:dyDescent="0.35">
      <c r="A558" s="1">
        <v>44273</v>
      </c>
      <c r="B558">
        <v>279.86999500000002</v>
      </c>
      <c r="C558">
        <v>285.19000199999999</v>
      </c>
      <c r="D558">
        <v>278.27999899999998</v>
      </c>
      <c r="E558">
        <v>278.61999500000002</v>
      </c>
      <c r="F558">
        <v>278.61999500000002</v>
      </c>
      <c r="G558">
        <v>18728300</v>
      </c>
      <c r="H558" s="2">
        <f t="shared" si="8"/>
        <v>-1.8978257139598775E-2</v>
      </c>
      <c r="I558" s="2">
        <f>VLOOKUP(A558,AAPL!A:H,8,)</f>
        <v>-3.3905121290395579E-2</v>
      </c>
    </row>
    <row r="559" spans="1:9" x14ac:dyDescent="0.35">
      <c r="A559" s="1">
        <v>44274</v>
      </c>
      <c r="B559">
        <v>281.22000100000002</v>
      </c>
      <c r="C559">
        <v>292.79998799999998</v>
      </c>
      <c r="D559">
        <v>281.20001200000002</v>
      </c>
      <c r="E559">
        <v>290.10998499999999</v>
      </c>
      <c r="F559">
        <v>290.10998499999999</v>
      </c>
      <c r="G559">
        <v>38930500</v>
      </c>
      <c r="H559" s="2">
        <f t="shared" si="8"/>
        <v>4.1238928311659651E-2</v>
      </c>
      <c r="I559" s="2">
        <f>VLOOKUP(A559,AAPL!A:H,8,)</f>
        <v>-4.4802207291149143E-3</v>
      </c>
    </row>
    <row r="560" spans="1:9" x14ac:dyDescent="0.35">
      <c r="A560" s="1">
        <v>44277</v>
      </c>
      <c r="B560">
        <v>290.45001200000002</v>
      </c>
      <c r="C560">
        <v>299.709991</v>
      </c>
      <c r="D560">
        <v>286.75</v>
      </c>
      <c r="E560">
        <v>293.540009</v>
      </c>
      <c r="F560">
        <v>293.540009</v>
      </c>
      <c r="G560">
        <v>28273100</v>
      </c>
      <c r="H560" s="2">
        <f t="shared" si="8"/>
        <v>1.1823184920711993E-2</v>
      </c>
      <c r="I560" s="2">
        <f>VLOOKUP(A560,AAPL!A:H,8,)</f>
        <v>2.8335703447549099E-2</v>
      </c>
    </row>
    <row r="561" spans="1:9" x14ac:dyDescent="0.35">
      <c r="A561" s="1">
        <v>44278</v>
      </c>
      <c r="B561">
        <v>293.14999399999999</v>
      </c>
      <c r="C561">
        <v>298</v>
      </c>
      <c r="D561">
        <v>289.80999800000001</v>
      </c>
      <c r="E561">
        <v>290.63000499999998</v>
      </c>
      <c r="F561">
        <v>290.63000499999998</v>
      </c>
      <c r="G561">
        <v>23000900</v>
      </c>
      <c r="H561" s="2">
        <f t="shared" si="8"/>
        <v>-9.9134833780019083E-3</v>
      </c>
      <c r="I561" s="2">
        <f>VLOOKUP(A561,AAPL!A:H,8,)</f>
        <v>-6.8887106482592442E-3</v>
      </c>
    </row>
    <row r="562" spans="1:9" x14ac:dyDescent="0.35">
      <c r="A562" s="1">
        <v>44279</v>
      </c>
      <c r="B562">
        <v>291</v>
      </c>
      <c r="C562">
        <v>291.72000100000002</v>
      </c>
      <c r="D562">
        <v>281.16000400000001</v>
      </c>
      <c r="E562">
        <v>282.14001500000001</v>
      </c>
      <c r="F562">
        <v>282.14001500000001</v>
      </c>
      <c r="G562">
        <v>18675000</v>
      </c>
      <c r="H562" s="2">
        <f t="shared" si="8"/>
        <v>-2.9212365736290602E-2</v>
      </c>
      <c r="I562" s="2">
        <f>VLOOKUP(A562,AAPL!A:H,8,)</f>
        <v>-1.9993512159347859E-2</v>
      </c>
    </row>
    <row r="563" spans="1:9" x14ac:dyDescent="0.35">
      <c r="A563" s="1">
        <v>44280</v>
      </c>
      <c r="B563">
        <v>280.98001099999999</v>
      </c>
      <c r="C563">
        <v>288.05999800000001</v>
      </c>
      <c r="D563">
        <v>277.75</v>
      </c>
      <c r="E563">
        <v>278.73998999999998</v>
      </c>
      <c r="F563">
        <v>278.73998999999998</v>
      </c>
      <c r="G563">
        <v>24505600</v>
      </c>
      <c r="H563" s="2">
        <f t="shared" si="8"/>
        <v>-1.2050842912161963E-2</v>
      </c>
      <c r="I563" s="2">
        <f>VLOOKUP(A563,AAPL!A:H,8,)</f>
        <v>4.1635441473408807E-3</v>
      </c>
    </row>
    <row r="564" spans="1:9" x14ac:dyDescent="0.35">
      <c r="A564" s="1">
        <v>44281</v>
      </c>
      <c r="B564">
        <v>278.29998799999998</v>
      </c>
      <c r="C564">
        <v>284.5</v>
      </c>
      <c r="D564">
        <v>277.76998900000001</v>
      </c>
      <c r="E564">
        <v>283.01998900000001</v>
      </c>
      <c r="F564">
        <v>283.01998900000001</v>
      </c>
      <c r="G564">
        <v>17629200</v>
      </c>
      <c r="H564" s="2">
        <f t="shared" si="8"/>
        <v>1.5354807898213751E-2</v>
      </c>
      <c r="I564" s="2">
        <f>VLOOKUP(A564,AAPL!A:H,8,)</f>
        <v>5.1414132230338527E-3</v>
      </c>
    </row>
    <row r="565" spans="1:9" x14ac:dyDescent="0.35">
      <c r="A565" s="1">
        <v>44284</v>
      </c>
      <c r="B565">
        <v>285.76998900000001</v>
      </c>
      <c r="C565">
        <v>293.17999300000002</v>
      </c>
      <c r="D565">
        <v>284.70001200000002</v>
      </c>
      <c r="E565">
        <v>290.82000699999998</v>
      </c>
      <c r="F565">
        <v>290.82000699999998</v>
      </c>
      <c r="G565">
        <v>21718800</v>
      </c>
      <c r="H565" s="2">
        <f t="shared" si="8"/>
        <v>2.7559954431345624E-2</v>
      </c>
      <c r="I565" s="2">
        <f>VLOOKUP(A565,AAPL!A:H,8,)</f>
        <v>1.4850260002066129E-3</v>
      </c>
    </row>
    <row r="566" spans="1:9" x14ac:dyDescent="0.35">
      <c r="A566" s="1">
        <v>44285</v>
      </c>
      <c r="B566">
        <v>289.82998700000002</v>
      </c>
      <c r="C566">
        <v>292.47000100000002</v>
      </c>
      <c r="D566">
        <v>286.70001200000002</v>
      </c>
      <c r="E566">
        <v>288</v>
      </c>
      <c r="F566">
        <v>288</v>
      </c>
      <c r="G566">
        <v>17474500</v>
      </c>
      <c r="H566" s="2">
        <f t="shared" si="8"/>
        <v>-9.6967434568556721E-3</v>
      </c>
      <c r="I566" s="2">
        <f>VLOOKUP(A566,AAPL!A:H,8,)</f>
        <v>-1.2274462577431922E-2</v>
      </c>
    </row>
    <row r="567" spans="1:9" x14ac:dyDescent="0.35">
      <c r="A567" s="1">
        <v>44286</v>
      </c>
      <c r="B567">
        <v>289.98998999999998</v>
      </c>
      <c r="C567">
        <v>296.5</v>
      </c>
      <c r="D567">
        <v>288.60998499999999</v>
      </c>
      <c r="E567">
        <v>294.52999899999998</v>
      </c>
      <c r="F567">
        <v>294.52999899999998</v>
      </c>
      <c r="G567">
        <v>19498200</v>
      </c>
      <c r="H567" s="2">
        <f t="shared" si="8"/>
        <v>2.2673607638888704E-2</v>
      </c>
      <c r="I567" s="2">
        <f>VLOOKUP(A567,AAPL!A:H,8,)</f>
        <v>1.8765637718671568E-2</v>
      </c>
    </row>
    <row r="568" spans="1:9" x14ac:dyDescent="0.35">
      <c r="A568" s="1">
        <v>44287</v>
      </c>
      <c r="B568">
        <v>298.39999399999999</v>
      </c>
      <c r="C568">
        <v>302.39999399999999</v>
      </c>
      <c r="D568">
        <v>296.60000600000001</v>
      </c>
      <c r="E568">
        <v>298.66000400000001</v>
      </c>
      <c r="F568">
        <v>298.66000400000001</v>
      </c>
      <c r="G568">
        <v>17616000</v>
      </c>
      <c r="H568" s="2">
        <f t="shared" si="8"/>
        <v>1.4022357702177635E-2</v>
      </c>
      <c r="I568" s="2">
        <f>VLOOKUP(A568,AAPL!A:H,8,)</f>
        <v>6.9586409012092343E-3</v>
      </c>
    </row>
    <row r="569" spans="1:9" x14ac:dyDescent="0.35">
      <c r="A569" s="1">
        <v>44291</v>
      </c>
      <c r="B569">
        <v>300.89001500000001</v>
      </c>
      <c r="C569">
        <v>310.76998900000001</v>
      </c>
      <c r="D569">
        <v>300.67999300000002</v>
      </c>
      <c r="E569">
        <v>308.91000400000001</v>
      </c>
      <c r="F569">
        <v>308.91000400000001</v>
      </c>
      <c r="G569">
        <v>28237000</v>
      </c>
      <c r="H569" s="2">
        <f t="shared" si="8"/>
        <v>3.4319962039510266E-2</v>
      </c>
      <c r="I569" s="2">
        <f>VLOOKUP(A569,AAPL!A:H,8,)</f>
        <v>2.3577252032520368E-2</v>
      </c>
    </row>
    <row r="570" spans="1:9" x14ac:dyDescent="0.35">
      <c r="A570" s="1">
        <v>44292</v>
      </c>
      <c r="B570">
        <v>308.83999599999999</v>
      </c>
      <c r="C570">
        <v>311.35000600000001</v>
      </c>
      <c r="D570">
        <v>305.25</v>
      </c>
      <c r="E570">
        <v>306.26001000000002</v>
      </c>
      <c r="F570">
        <v>306.26001000000002</v>
      </c>
      <c r="G570">
        <v>17335200</v>
      </c>
      <c r="H570" s="2">
        <f t="shared" si="8"/>
        <v>-8.5785308526298287E-3</v>
      </c>
      <c r="I570" s="2">
        <f>VLOOKUP(A570,AAPL!A:H,8,)</f>
        <v>2.462247776612303E-3</v>
      </c>
    </row>
    <row r="571" spans="1:9" x14ac:dyDescent="0.35">
      <c r="A571" s="1">
        <v>44293</v>
      </c>
      <c r="B571">
        <v>306.33999599999999</v>
      </c>
      <c r="C571">
        <v>314.25</v>
      </c>
      <c r="D571">
        <v>305.5</v>
      </c>
      <c r="E571">
        <v>313.08999599999999</v>
      </c>
      <c r="F571">
        <v>313.08999599999999</v>
      </c>
      <c r="G571">
        <v>22855200</v>
      </c>
      <c r="H571" s="2">
        <f t="shared" si="8"/>
        <v>2.2301266169226563E-2</v>
      </c>
      <c r="I571" s="2">
        <f>VLOOKUP(A571,AAPL!A:H,8,)</f>
        <v>1.3390404986850513E-2</v>
      </c>
    </row>
    <row r="572" spans="1:9" x14ac:dyDescent="0.35">
      <c r="A572" s="1">
        <v>44294</v>
      </c>
      <c r="B572">
        <v>314.85000600000001</v>
      </c>
      <c r="C572">
        <v>315.88000499999998</v>
      </c>
      <c r="D572">
        <v>310.04998799999998</v>
      </c>
      <c r="E572">
        <v>313.01998900000001</v>
      </c>
      <c r="F572">
        <v>313.01998900000001</v>
      </c>
      <c r="G572">
        <v>20894100</v>
      </c>
      <c r="H572" s="2">
        <f t="shared" si="8"/>
        <v>-2.2360024559830993E-4</v>
      </c>
      <c r="I572" s="2">
        <f>VLOOKUP(A572,AAPL!A:H,8,)</f>
        <v>1.9233768268432261E-2</v>
      </c>
    </row>
    <row r="573" spans="1:9" x14ac:dyDescent="0.35">
      <c r="A573" s="1">
        <v>44295</v>
      </c>
      <c r="B573">
        <v>311.39999399999999</v>
      </c>
      <c r="C573">
        <v>314.73998999999998</v>
      </c>
      <c r="D573">
        <v>310.32998700000002</v>
      </c>
      <c r="E573">
        <v>312.459991</v>
      </c>
      <c r="F573">
        <v>312.459991</v>
      </c>
      <c r="G573">
        <v>15988600</v>
      </c>
      <c r="H573" s="2">
        <f t="shared" si="8"/>
        <v>-1.7890167391194645E-3</v>
      </c>
      <c r="I573" s="2">
        <f>VLOOKUP(A573,AAPL!A:H,8,)</f>
        <v>2.0251603097179993E-2</v>
      </c>
    </row>
    <row r="574" spans="1:9" x14ac:dyDescent="0.35">
      <c r="A574" s="1">
        <v>44298</v>
      </c>
      <c r="B574">
        <v>311.04998799999998</v>
      </c>
      <c r="C574">
        <v>312.14999399999999</v>
      </c>
      <c r="D574">
        <v>307.92999300000002</v>
      </c>
      <c r="E574">
        <v>311.540009</v>
      </c>
      <c r="F574">
        <v>311.540009</v>
      </c>
      <c r="G574">
        <v>10881900</v>
      </c>
      <c r="H574" s="2">
        <f t="shared" si="8"/>
        <v>-2.9443193576741411E-3</v>
      </c>
      <c r="I574" s="2">
        <f>VLOOKUP(A574,AAPL!A:H,8,)</f>
        <v>-1.3233045112782005E-2</v>
      </c>
    </row>
    <row r="575" spans="1:9" x14ac:dyDescent="0.35">
      <c r="A575" s="1">
        <v>44299</v>
      </c>
      <c r="B575">
        <v>312.209991</v>
      </c>
      <c r="C575">
        <v>314.42999300000002</v>
      </c>
      <c r="D575">
        <v>309.32000699999998</v>
      </c>
      <c r="E575">
        <v>309.76001000000002</v>
      </c>
      <c r="F575">
        <v>309.76001000000002</v>
      </c>
      <c r="G575">
        <v>14036900</v>
      </c>
      <c r="H575" s="2">
        <f t="shared" si="8"/>
        <v>-5.7135486569237504E-3</v>
      </c>
      <c r="I575" s="2">
        <f>VLOOKUP(A575,AAPL!A:H,8,)</f>
        <v>2.430652147567347E-2</v>
      </c>
    </row>
    <row r="576" spans="1:9" x14ac:dyDescent="0.35">
      <c r="A576" s="1">
        <v>44300</v>
      </c>
      <c r="B576">
        <v>307.29998799999998</v>
      </c>
      <c r="C576">
        <v>308.02999899999998</v>
      </c>
      <c r="D576">
        <v>301.95001200000002</v>
      </c>
      <c r="E576">
        <v>302.82000699999998</v>
      </c>
      <c r="F576">
        <v>302.82000699999998</v>
      </c>
      <c r="G576">
        <v>17421400</v>
      </c>
      <c r="H576" s="2">
        <f t="shared" si="8"/>
        <v>-2.2404451110393686E-2</v>
      </c>
      <c r="I576" s="2">
        <f>VLOOKUP(A576,AAPL!A:H,8,)</f>
        <v>-1.7853114074029564E-2</v>
      </c>
    </row>
    <row r="577" spans="1:9" x14ac:dyDescent="0.35">
      <c r="A577" s="1">
        <v>44301</v>
      </c>
      <c r="B577">
        <v>306.33999599999999</v>
      </c>
      <c r="C577">
        <v>310.14001500000001</v>
      </c>
      <c r="D577">
        <v>304.10000600000001</v>
      </c>
      <c r="E577">
        <v>307.82000699999998</v>
      </c>
      <c r="F577">
        <v>307.82000699999998</v>
      </c>
      <c r="G577">
        <v>14558300</v>
      </c>
      <c r="H577" s="2">
        <f t="shared" si="8"/>
        <v>1.651145857083347E-2</v>
      </c>
      <c r="I577" s="2">
        <f>VLOOKUP(A577,AAPL!A:H,8,)</f>
        <v>1.8707877139346074E-2</v>
      </c>
    </row>
    <row r="578" spans="1:9" x14ac:dyDescent="0.35">
      <c r="A578" s="1">
        <v>44302</v>
      </c>
      <c r="B578">
        <v>308.17001299999998</v>
      </c>
      <c r="C578">
        <v>308.95001200000002</v>
      </c>
      <c r="D578">
        <v>304.60998499999999</v>
      </c>
      <c r="E578">
        <v>306.17999300000002</v>
      </c>
      <c r="F578">
        <v>306.17999300000002</v>
      </c>
      <c r="G578">
        <v>13059200</v>
      </c>
      <c r="H578" s="2">
        <f t="shared" si="8"/>
        <v>-5.3278343275456885E-3</v>
      </c>
      <c r="I578" s="2">
        <f>VLOOKUP(A578,AAPL!A:H,8,)</f>
        <v>-2.5278513011153247E-3</v>
      </c>
    </row>
    <row r="579" spans="1:9" x14ac:dyDescent="0.35">
      <c r="A579" s="1">
        <v>44305</v>
      </c>
      <c r="B579">
        <v>305.01001000000002</v>
      </c>
      <c r="C579">
        <v>307.70001200000002</v>
      </c>
      <c r="D579">
        <v>300.55999800000001</v>
      </c>
      <c r="E579">
        <v>302.23998999999998</v>
      </c>
      <c r="F579">
        <v>302.23998999999998</v>
      </c>
      <c r="G579">
        <v>14553500</v>
      </c>
      <c r="H579" s="2">
        <f t="shared" si="8"/>
        <v>-1.2868257528505622E-2</v>
      </c>
      <c r="I579" s="2">
        <f>VLOOKUP(A579,AAPL!A:H,8,)</f>
        <v>5.0685150546061486E-3</v>
      </c>
    </row>
    <row r="580" spans="1:9" x14ac:dyDescent="0.35">
      <c r="A580" s="1">
        <v>44306</v>
      </c>
      <c r="B580">
        <v>301.98998999999998</v>
      </c>
      <c r="C580">
        <v>305.10000600000001</v>
      </c>
      <c r="D580">
        <v>297.209991</v>
      </c>
      <c r="E580">
        <v>302.64999399999999</v>
      </c>
      <c r="F580">
        <v>302.64999399999999</v>
      </c>
      <c r="G580">
        <v>16796400</v>
      </c>
      <c r="H580" s="2">
        <f t="shared" ref="H580:H643" si="9">E580/E579-1</f>
        <v>1.3565511301136812E-3</v>
      </c>
      <c r="I580" s="2">
        <f>VLOOKUP(A580,AAPL!A:H,8,)</f>
        <v>-1.2829984064965383E-2</v>
      </c>
    </row>
    <row r="581" spans="1:9" x14ac:dyDescent="0.35">
      <c r="A581" s="1">
        <v>44307</v>
      </c>
      <c r="B581">
        <v>301.95001200000002</v>
      </c>
      <c r="C581">
        <v>301.98001099999999</v>
      </c>
      <c r="D581">
        <v>297.39001500000001</v>
      </c>
      <c r="E581">
        <v>301.47000100000002</v>
      </c>
      <c r="F581">
        <v>301.47000100000002</v>
      </c>
      <c r="G581">
        <v>14863500</v>
      </c>
      <c r="H581" s="2">
        <f t="shared" si="9"/>
        <v>-3.8988700591217063E-3</v>
      </c>
      <c r="I581" s="2">
        <f>VLOOKUP(A581,AAPL!A:H,8,)</f>
        <v>2.9299000606273218E-3</v>
      </c>
    </row>
    <row r="582" spans="1:9" x14ac:dyDescent="0.35">
      <c r="A582" s="1">
        <v>44308</v>
      </c>
      <c r="B582">
        <v>301.32998700000002</v>
      </c>
      <c r="C582">
        <v>302.92001299999998</v>
      </c>
      <c r="D582">
        <v>296.040009</v>
      </c>
      <c r="E582">
        <v>296.51998900000001</v>
      </c>
      <c r="F582">
        <v>296.51998900000001</v>
      </c>
      <c r="G582">
        <v>16375400</v>
      </c>
      <c r="H582" s="2">
        <f t="shared" si="9"/>
        <v>-1.6419583983747765E-2</v>
      </c>
      <c r="I582" s="2">
        <f>VLOOKUP(A582,AAPL!A:H,8,)</f>
        <v>-1.1685378277153657E-2</v>
      </c>
    </row>
    <row r="583" spans="1:9" x14ac:dyDescent="0.35">
      <c r="A583" s="1">
        <v>44309</v>
      </c>
      <c r="B583">
        <v>298.76001000000002</v>
      </c>
      <c r="C583">
        <v>302.58999599999999</v>
      </c>
      <c r="D583">
        <v>297.14999399999999</v>
      </c>
      <c r="E583">
        <v>301.13000499999998</v>
      </c>
      <c r="F583">
        <v>301.13000499999998</v>
      </c>
      <c r="G583">
        <v>17536800</v>
      </c>
      <c r="H583" s="2">
        <f t="shared" si="9"/>
        <v>1.5547066541945487E-2</v>
      </c>
      <c r="I583" s="2">
        <f>VLOOKUP(A583,AAPL!A:H,8,)</f>
        <v>1.8038539972130785E-2</v>
      </c>
    </row>
    <row r="584" spans="1:9" x14ac:dyDescent="0.35">
      <c r="A584" s="1">
        <v>44312</v>
      </c>
      <c r="B584">
        <v>303.33999599999999</v>
      </c>
      <c r="C584">
        <v>305.79998799999998</v>
      </c>
      <c r="D584">
        <v>301.55999800000001</v>
      </c>
      <c r="E584">
        <v>303.040009</v>
      </c>
      <c r="F584">
        <v>303.040009</v>
      </c>
      <c r="G584">
        <v>16172600</v>
      </c>
      <c r="H584" s="2">
        <f t="shared" si="9"/>
        <v>6.3427887234286384E-3</v>
      </c>
      <c r="I584" s="2">
        <f>VLOOKUP(A584,AAPL!A:H,8,)</f>
        <v>2.9779182486193712E-3</v>
      </c>
    </row>
    <row r="585" spans="1:9" x14ac:dyDescent="0.35">
      <c r="A585" s="1">
        <v>44313</v>
      </c>
      <c r="B585">
        <v>304.27999899999998</v>
      </c>
      <c r="C585">
        <v>305.33999599999999</v>
      </c>
      <c r="D585">
        <v>301.10998499999999</v>
      </c>
      <c r="E585">
        <v>303.57000699999998</v>
      </c>
      <c r="F585">
        <v>303.57000699999998</v>
      </c>
      <c r="G585">
        <v>15309300</v>
      </c>
      <c r="H585" s="2">
        <f t="shared" si="9"/>
        <v>1.7489373820602783E-3</v>
      </c>
      <c r="I585" s="2">
        <f>VLOOKUP(A585,AAPL!A:H,8,)</f>
        <v>-2.4495397680408537E-3</v>
      </c>
    </row>
    <row r="586" spans="1:9" x14ac:dyDescent="0.35">
      <c r="A586" s="1">
        <v>44314</v>
      </c>
      <c r="B586">
        <v>307.35998499999999</v>
      </c>
      <c r="C586">
        <v>310.92001299999998</v>
      </c>
      <c r="D586">
        <v>305.36999500000002</v>
      </c>
      <c r="E586">
        <v>307.10000600000001</v>
      </c>
      <c r="F586">
        <v>307.10000600000001</v>
      </c>
      <c r="G586">
        <v>33907200</v>
      </c>
      <c r="H586" s="2">
        <f t="shared" si="9"/>
        <v>1.1628286453213565E-2</v>
      </c>
      <c r="I586" s="2">
        <f>VLOOKUP(A586,AAPL!A:H,8,)</f>
        <v>-6.0272118909679984E-3</v>
      </c>
    </row>
    <row r="587" spans="1:9" x14ac:dyDescent="0.35">
      <c r="A587" s="1">
        <v>44315</v>
      </c>
      <c r="B587">
        <v>330.11999500000002</v>
      </c>
      <c r="C587">
        <v>331.80999800000001</v>
      </c>
      <c r="D587">
        <v>321.60998499999999</v>
      </c>
      <c r="E587">
        <v>329.51001000000002</v>
      </c>
      <c r="F587">
        <v>329.51001000000002</v>
      </c>
      <c r="G587">
        <v>56526800</v>
      </c>
      <c r="H587" s="2">
        <f t="shared" si="9"/>
        <v>7.2972984572328592E-2</v>
      </c>
      <c r="I587" s="2">
        <f>VLOOKUP(A587,AAPL!A:H,8,)</f>
        <v>-7.4865996782969013E-4</v>
      </c>
    </row>
    <row r="588" spans="1:9" x14ac:dyDescent="0.35">
      <c r="A588" s="1">
        <v>44316</v>
      </c>
      <c r="B588">
        <v>326.14001500000001</v>
      </c>
      <c r="C588">
        <v>329.82000699999998</v>
      </c>
      <c r="D588">
        <v>324.5</v>
      </c>
      <c r="E588">
        <v>325.07998700000002</v>
      </c>
      <c r="F588">
        <v>325.07998700000002</v>
      </c>
      <c r="G588">
        <v>26332400</v>
      </c>
      <c r="H588" s="2">
        <f t="shared" si="9"/>
        <v>-1.3444274424318725E-2</v>
      </c>
      <c r="I588" s="2">
        <f>VLOOKUP(A588,AAPL!A:H,8,)</f>
        <v>-1.5133271355507127E-2</v>
      </c>
    </row>
    <row r="589" spans="1:9" x14ac:dyDescent="0.35">
      <c r="A589" s="1">
        <v>44319</v>
      </c>
      <c r="B589">
        <v>326.17001299999998</v>
      </c>
      <c r="C589">
        <v>328.54998799999998</v>
      </c>
      <c r="D589">
        <v>321.83999599999999</v>
      </c>
      <c r="E589">
        <v>322.57998700000002</v>
      </c>
      <c r="F589">
        <v>322.57998700000002</v>
      </c>
      <c r="G589">
        <v>18719500</v>
      </c>
      <c r="H589" s="2">
        <f t="shared" si="9"/>
        <v>-7.6904149746997996E-3</v>
      </c>
      <c r="I589" s="2">
        <f>VLOOKUP(A589,AAPL!A:H,8,)</f>
        <v>8.2153198120551441E-3</v>
      </c>
    </row>
    <row r="590" spans="1:9" x14ac:dyDescent="0.35">
      <c r="A590" s="1">
        <v>44320</v>
      </c>
      <c r="B590">
        <v>320.01998900000001</v>
      </c>
      <c r="C590">
        <v>322.19000199999999</v>
      </c>
      <c r="D590">
        <v>313.11999500000002</v>
      </c>
      <c r="E590">
        <v>318.35998499999999</v>
      </c>
      <c r="F590">
        <v>318.35998499999999</v>
      </c>
      <c r="G590">
        <v>24032600</v>
      </c>
      <c r="H590" s="2">
        <f t="shared" si="9"/>
        <v>-1.3082032891271744E-2</v>
      </c>
      <c r="I590" s="2">
        <f>VLOOKUP(A590,AAPL!A:H,8,)</f>
        <v>-3.5385508131119403E-2</v>
      </c>
    </row>
    <row r="591" spans="1:9" x14ac:dyDescent="0.35">
      <c r="A591" s="1">
        <v>44321</v>
      </c>
      <c r="B591">
        <v>318.19000199999999</v>
      </c>
      <c r="C591">
        <v>321.05999800000001</v>
      </c>
      <c r="D591">
        <v>314.48998999999998</v>
      </c>
      <c r="E591">
        <v>315.01998900000001</v>
      </c>
      <c r="F591">
        <v>315.01998900000001</v>
      </c>
      <c r="G591">
        <v>15577600</v>
      </c>
      <c r="H591" s="2">
        <f t="shared" si="9"/>
        <v>-1.0491255677122835E-2</v>
      </c>
      <c r="I591" s="2">
        <f>VLOOKUP(A591,AAPL!A:H,8,)</f>
        <v>1.9554791076337175E-3</v>
      </c>
    </row>
    <row r="592" spans="1:9" x14ac:dyDescent="0.35">
      <c r="A592" s="1">
        <v>44322</v>
      </c>
      <c r="B592">
        <v>314.51998900000001</v>
      </c>
      <c r="C592">
        <v>320.23998999999998</v>
      </c>
      <c r="D592">
        <v>313.26998900000001</v>
      </c>
      <c r="E592">
        <v>320.01998900000001</v>
      </c>
      <c r="F592">
        <v>320.01998900000001</v>
      </c>
      <c r="G592">
        <v>19012200</v>
      </c>
      <c r="H592" s="2">
        <f t="shared" si="9"/>
        <v>1.5872008680693606E-2</v>
      </c>
      <c r="I592" s="2">
        <f>VLOOKUP(A592,AAPL!A:H,8,)</f>
        <v>1.2802489642350201E-2</v>
      </c>
    </row>
    <row r="593" spans="1:9" x14ac:dyDescent="0.35">
      <c r="A593" s="1">
        <v>44323</v>
      </c>
      <c r="B593">
        <v>322.38000499999998</v>
      </c>
      <c r="C593">
        <v>322.94000199999999</v>
      </c>
      <c r="D593">
        <v>318.75</v>
      </c>
      <c r="E593">
        <v>319.07998700000002</v>
      </c>
      <c r="F593">
        <v>319.07998700000002</v>
      </c>
      <c r="G593">
        <v>15916700</v>
      </c>
      <c r="H593" s="2">
        <f t="shared" si="9"/>
        <v>-2.9373227682973901E-3</v>
      </c>
      <c r="I593" s="2">
        <f>VLOOKUP(A593,AAPL!A:H,8,)</f>
        <v>3.622645150969328E-3</v>
      </c>
    </row>
    <row r="594" spans="1:9" x14ac:dyDescent="0.35">
      <c r="A594" s="1">
        <v>44326</v>
      </c>
      <c r="B594">
        <v>314.35000600000001</v>
      </c>
      <c r="C594">
        <v>314.57998700000002</v>
      </c>
      <c r="D594">
        <v>304.82998700000002</v>
      </c>
      <c r="E594">
        <v>305.97000100000002</v>
      </c>
      <c r="F594">
        <v>305.97000100000002</v>
      </c>
      <c r="G594">
        <v>24239200</v>
      </c>
      <c r="H594" s="2">
        <f t="shared" si="9"/>
        <v>-4.1086832562770459E-2</v>
      </c>
      <c r="I594" s="2">
        <f>VLOOKUP(A594,AAPL!A:H,8,)</f>
        <v>-2.5804537434668817E-2</v>
      </c>
    </row>
    <row r="595" spans="1:9" x14ac:dyDescent="0.35">
      <c r="A595" s="1">
        <v>44327</v>
      </c>
      <c r="B595">
        <v>300.75</v>
      </c>
      <c r="C595">
        <v>306.83999599999999</v>
      </c>
      <c r="D595">
        <v>299.69000199999999</v>
      </c>
      <c r="E595">
        <v>306.52999899999998</v>
      </c>
      <c r="F595">
        <v>306.52999899999998</v>
      </c>
      <c r="G595">
        <v>18920100</v>
      </c>
      <c r="H595" s="2">
        <f t="shared" si="9"/>
        <v>1.8302382526709238E-3</v>
      </c>
      <c r="I595" s="2">
        <f>VLOOKUP(A595,AAPL!A:H,8,)</f>
        <v>-7.4102799749353743E-3</v>
      </c>
    </row>
    <row r="596" spans="1:9" x14ac:dyDescent="0.35">
      <c r="A596" s="1">
        <v>44328</v>
      </c>
      <c r="B596">
        <v>301.13000499999998</v>
      </c>
      <c r="C596">
        <v>304.959991</v>
      </c>
      <c r="D596">
        <v>298.19000199999999</v>
      </c>
      <c r="E596">
        <v>302.54998799999998</v>
      </c>
      <c r="F596">
        <v>302.54998799999998</v>
      </c>
      <c r="G596">
        <v>24645500</v>
      </c>
      <c r="H596" s="2">
        <f t="shared" si="9"/>
        <v>-1.2984083166359128E-2</v>
      </c>
      <c r="I596" s="2">
        <f>VLOOKUP(A596,AAPL!A:H,8,)</f>
        <v>-2.4938502900849646E-2</v>
      </c>
    </row>
    <row r="597" spans="1:9" x14ac:dyDescent="0.35">
      <c r="A597" s="1">
        <v>44329</v>
      </c>
      <c r="B597">
        <v>306.07998700000002</v>
      </c>
      <c r="C597">
        <v>308.85998499999999</v>
      </c>
      <c r="D597">
        <v>302.76998900000001</v>
      </c>
      <c r="E597">
        <v>305.26001000000002</v>
      </c>
      <c r="F597">
        <v>305.26001000000002</v>
      </c>
      <c r="G597">
        <v>18079200</v>
      </c>
      <c r="H597" s="2">
        <f t="shared" si="9"/>
        <v>8.9572702280193983E-3</v>
      </c>
      <c r="I597" s="2">
        <f>VLOOKUP(A597,AAPL!A:H,8,)</f>
        <v>1.7919720239139458E-2</v>
      </c>
    </row>
    <row r="598" spans="1:9" x14ac:dyDescent="0.35">
      <c r="A598" s="1">
        <v>44330</v>
      </c>
      <c r="B598">
        <v>309.540009</v>
      </c>
      <c r="C598">
        <v>316.85000600000001</v>
      </c>
      <c r="D598">
        <v>309.07998700000002</v>
      </c>
      <c r="E598">
        <v>315.94000199999999</v>
      </c>
      <c r="F598">
        <v>315.94000199999999</v>
      </c>
      <c r="G598">
        <v>19245700</v>
      </c>
      <c r="H598" s="2">
        <f t="shared" si="9"/>
        <v>3.4986541473283506E-2</v>
      </c>
      <c r="I598" s="2">
        <f>VLOOKUP(A598,AAPL!A:H,8,)</f>
        <v>1.9844730576580538E-2</v>
      </c>
    </row>
    <row r="599" spans="1:9" x14ac:dyDescent="0.35">
      <c r="A599" s="1">
        <v>44333</v>
      </c>
      <c r="B599">
        <v>313.54998799999998</v>
      </c>
      <c r="C599">
        <v>315.67999300000002</v>
      </c>
      <c r="D599">
        <v>311.57998700000002</v>
      </c>
      <c r="E599">
        <v>315.459991</v>
      </c>
      <c r="F599">
        <v>315.459991</v>
      </c>
      <c r="G599">
        <v>15401300</v>
      </c>
      <c r="H599" s="2">
        <f t="shared" si="9"/>
        <v>-1.5193106189825833E-3</v>
      </c>
      <c r="I599" s="2">
        <f>VLOOKUP(A599,AAPL!A:H,8,)</f>
        <v>-9.2585329758775314E-3</v>
      </c>
    </row>
    <row r="600" spans="1:9" x14ac:dyDescent="0.35">
      <c r="A600" s="1">
        <v>44334</v>
      </c>
      <c r="B600">
        <v>315.58999599999999</v>
      </c>
      <c r="C600">
        <v>316.5</v>
      </c>
      <c r="D600">
        <v>309.80999800000001</v>
      </c>
      <c r="E600">
        <v>309.959991</v>
      </c>
      <c r="F600">
        <v>309.959991</v>
      </c>
      <c r="G600">
        <v>14522400</v>
      </c>
      <c r="H600" s="2">
        <f t="shared" si="9"/>
        <v>-1.7434857531584691E-2</v>
      </c>
      <c r="I600" s="2">
        <f>VLOOKUP(A600,AAPL!A:H,8,)</f>
        <v>-1.124573559623987E-2</v>
      </c>
    </row>
    <row r="601" spans="1:9" x14ac:dyDescent="0.35">
      <c r="A601" s="1">
        <v>44335</v>
      </c>
      <c r="B601">
        <v>304.19000199999999</v>
      </c>
      <c r="C601">
        <v>314.66000400000001</v>
      </c>
      <c r="D601">
        <v>303.57000699999998</v>
      </c>
      <c r="E601">
        <v>313.58999599999999</v>
      </c>
      <c r="F601">
        <v>313.58999599999999</v>
      </c>
      <c r="G601">
        <v>19106200</v>
      </c>
      <c r="H601" s="2">
        <f t="shared" si="9"/>
        <v>1.1711205011617043E-2</v>
      </c>
      <c r="I601" s="2">
        <f>VLOOKUP(A601,AAPL!A:H,8,)</f>
        <v>-1.2815058274969759E-3</v>
      </c>
    </row>
    <row r="602" spans="1:9" x14ac:dyDescent="0.35">
      <c r="A602" s="1">
        <v>44336</v>
      </c>
      <c r="B602">
        <v>313.57998700000002</v>
      </c>
      <c r="C602">
        <v>319.25</v>
      </c>
      <c r="D602">
        <v>313.16000400000001</v>
      </c>
      <c r="E602">
        <v>318.60998499999999</v>
      </c>
      <c r="F602">
        <v>318.60998499999999</v>
      </c>
      <c r="G602">
        <v>17320200</v>
      </c>
      <c r="H602" s="2">
        <f t="shared" si="9"/>
        <v>1.6008128652165388E-2</v>
      </c>
      <c r="I602" s="2">
        <f>VLOOKUP(A602,AAPL!A:H,8,)</f>
        <v>2.1012077616294977E-2</v>
      </c>
    </row>
    <row r="603" spans="1:9" x14ac:dyDescent="0.35">
      <c r="A603" s="1">
        <v>44337</v>
      </c>
      <c r="B603">
        <v>319.290009</v>
      </c>
      <c r="C603">
        <v>319.92999300000002</v>
      </c>
      <c r="D603">
        <v>315.80999800000001</v>
      </c>
      <c r="E603">
        <v>316.23001099999999</v>
      </c>
      <c r="F603">
        <v>316.23001099999999</v>
      </c>
      <c r="G603">
        <v>13600900</v>
      </c>
      <c r="H603" s="2">
        <f t="shared" si="9"/>
        <v>-7.4698663320297287E-3</v>
      </c>
      <c r="I603" s="2">
        <f>VLOOKUP(A603,AAPL!A:H,8,)</f>
        <v>-1.4767088441867582E-2</v>
      </c>
    </row>
    <row r="604" spans="1:9" x14ac:dyDescent="0.35">
      <c r="A604" s="1">
        <v>44340</v>
      </c>
      <c r="B604">
        <v>318.209991</v>
      </c>
      <c r="C604">
        <v>325.95001200000002</v>
      </c>
      <c r="D604">
        <v>318.02999899999998</v>
      </c>
      <c r="E604">
        <v>324.63000499999998</v>
      </c>
      <c r="F604">
        <v>324.63000499999998</v>
      </c>
      <c r="G604">
        <v>16445400</v>
      </c>
      <c r="H604" s="2">
        <f t="shared" si="9"/>
        <v>2.6562924794636178E-2</v>
      </c>
      <c r="I604" s="2">
        <f>VLOOKUP(A604,AAPL!A:H,8,)</f>
        <v>1.3314183209758301E-2</v>
      </c>
    </row>
    <row r="605" spans="1:9" x14ac:dyDescent="0.35">
      <c r="A605" s="1">
        <v>44341</v>
      </c>
      <c r="B605">
        <v>327.07998700000002</v>
      </c>
      <c r="C605">
        <v>329.17999300000002</v>
      </c>
      <c r="D605">
        <v>324.79998799999998</v>
      </c>
      <c r="E605">
        <v>327.790009</v>
      </c>
      <c r="F605">
        <v>327.790009</v>
      </c>
      <c r="G605">
        <v>16437000</v>
      </c>
      <c r="H605" s="2">
        <f t="shared" si="9"/>
        <v>9.7341710603737752E-3</v>
      </c>
      <c r="I605" s="2">
        <f>VLOOKUP(A605,AAPL!A:H,8,)</f>
        <v>-1.5735326762160717E-3</v>
      </c>
    </row>
    <row r="606" spans="1:9" x14ac:dyDescent="0.35">
      <c r="A606" s="1">
        <v>44342</v>
      </c>
      <c r="B606">
        <v>328.35000600000001</v>
      </c>
      <c r="C606">
        <v>329.82998700000002</v>
      </c>
      <c r="D606">
        <v>325.82000699999998</v>
      </c>
      <c r="E606">
        <v>327.66000400000001</v>
      </c>
      <c r="F606">
        <v>327.66000400000001</v>
      </c>
      <c r="G606">
        <v>9686900</v>
      </c>
      <c r="H606" s="2">
        <f t="shared" si="9"/>
        <v>-3.9661062396800784E-4</v>
      </c>
      <c r="I606" s="2">
        <f>VLOOKUP(A606,AAPL!A:H,8,)</f>
        <v>-3.9404254698116592E-4</v>
      </c>
    </row>
    <row r="607" spans="1:9" x14ac:dyDescent="0.35">
      <c r="A607" s="1">
        <v>44343</v>
      </c>
      <c r="B607">
        <v>328</v>
      </c>
      <c r="C607">
        <v>333.77999899999998</v>
      </c>
      <c r="D607">
        <v>326.76001000000002</v>
      </c>
      <c r="E607">
        <v>332.75</v>
      </c>
      <c r="F607">
        <v>332.75</v>
      </c>
      <c r="G607">
        <v>20477700</v>
      </c>
      <c r="H607" s="2">
        <f t="shared" si="9"/>
        <v>1.5534383012459463E-2</v>
      </c>
      <c r="I607" s="2">
        <f>VLOOKUP(A607,AAPL!A:H,8,)</f>
        <v>-1.2376815331128332E-2</v>
      </c>
    </row>
    <row r="608" spans="1:9" x14ac:dyDescent="0.35">
      <c r="A608" s="1">
        <v>44344</v>
      </c>
      <c r="B608">
        <v>331</v>
      </c>
      <c r="C608">
        <v>332.86999500000002</v>
      </c>
      <c r="D608">
        <v>328.32998700000002</v>
      </c>
      <c r="E608">
        <v>328.73001099999999</v>
      </c>
      <c r="F608">
        <v>328.73001099999999</v>
      </c>
      <c r="G608">
        <v>12037400</v>
      </c>
      <c r="H608" s="2">
        <f t="shared" si="9"/>
        <v>-1.2081108940646179E-2</v>
      </c>
      <c r="I608" s="2">
        <f>VLOOKUP(A608,AAPL!A:H,8,)</f>
        <v>-5.348004512675697E-3</v>
      </c>
    </row>
    <row r="609" spans="1:9" x14ac:dyDescent="0.35">
      <c r="A609" s="1">
        <v>44348</v>
      </c>
      <c r="B609">
        <v>330.14999399999999</v>
      </c>
      <c r="C609">
        <v>331.42001299999998</v>
      </c>
      <c r="D609">
        <v>326.64001500000001</v>
      </c>
      <c r="E609">
        <v>329.13000499999998</v>
      </c>
      <c r="F609">
        <v>329.13000499999998</v>
      </c>
      <c r="G609">
        <v>11765900</v>
      </c>
      <c r="H609" s="2">
        <f t="shared" si="9"/>
        <v>1.2167857713483166E-3</v>
      </c>
      <c r="I609" s="2">
        <f>VLOOKUP(A609,AAPL!A:H,8,)</f>
        <v>-2.6482786080709309E-3</v>
      </c>
    </row>
    <row r="610" spans="1:9" x14ac:dyDescent="0.35">
      <c r="A610" s="1">
        <v>44349</v>
      </c>
      <c r="B610">
        <v>330.38000499999998</v>
      </c>
      <c r="C610">
        <v>331.86999500000002</v>
      </c>
      <c r="D610">
        <v>327.11999500000002</v>
      </c>
      <c r="E610">
        <v>329.14999399999999</v>
      </c>
      <c r="F610">
        <v>329.14999399999999</v>
      </c>
      <c r="G610">
        <v>11654300</v>
      </c>
      <c r="H610" s="2">
        <f t="shared" si="9"/>
        <v>6.0732840204025251E-5</v>
      </c>
      <c r="I610" s="2">
        <f>VLOOKUP(A610,AAPL!A:H,8,)</f>
        <v>6.2761426317681224E-3</v>
      </c>
    </row>
    <row r="611" spans="1:9" x14ac:dyDescent="0.35">
      <c r="A611" s="1">
        <v>44350</v>
      </c>
      <c r="B611">
        <v>325.77999899999998</v>
      </c>
      <c r="C611">
        <v>327.38000499999998</v>
      </c>
      <c r="D611">
        <v>323.48001099999999</v>
      </c>
      <c r="E611">
        <v>326.040009</v>
      </c>
      <c r="F611">
        <v>326.040009</v>
      </c>
      <c r="G611">
        <v>12610800</v>
      </c>
      <c r="H611" s="2">
        <f t="shared" si="9"/>
        <v>-9.4485342752277379E-3</v>
      </c>
      <c r="I611" s="2">
        <f>VLOOKUP(A611,AAPL!A:H,8,)</f>
        <v>-1.2154142206207252E-2</v>
      </c>
    </row>
    <row r="612" spans="1:9" x14ac:dyDescent="0.35">
      <c r="A612" s="1">
        <v>44351</v>
      </c>
      <c r="B612">
        <v>325.89999399999999</v>
      </c>
      <c r="C612">
        <v>332.459991</v>
      </c>
      <c r="D612">
        <v>325.17999300000002</v>
      </c>
      <c r="E612">
        <v>330.35000600000001</v>
      </c>
      <c r="F612">
        <v>330.35000600000001</v>
      </c>
      <c r="G612">
        <v>13289400</v>
      </c>
      <c r="H612" s="2">
        <f t="shared" si="9"/>
        <v>1.3219227337219142E-2</v>
      </c>
      <c r="I612" s="2">
        <f>VLOOKUP(A612,AAPL!A:H,8,)</f>
        <v>1.9022162708255186E-2</v>
      </c>
    </row>
    <row r="613" spans="1:9" x14ac:dyDescent="0.35">
      <c r="A613" s="1">
        <v>44354</v>
      </c>
      <c r="B613">
        <v>329.48001099999999</v>
      </c>
      <c r="C613">
        <v>337.69000199999999</v>
      </c>
      <c r="D613">
        <v>328.92999300000002</v>
      </c>
      <c r="E613">
        <v>336.57998700000002</v>
      </c>
      <c r="F613">
        <v>336.57998700000002</v>
      </c>
      <c r="G613">
        <v>20136700</v>
      </c>
      <c r="H613" s="2">
        <f t="shared" si="9"/>
        <v>1.8858728278636772E-2</v>
      </c>
      <c r="I613" s="2">
        <f>VLOOKUP(A613,AAPL!A:H,8,)</f>
        <v>7.9458257839837287E-5</v>
      </c>
    </row>
    <row r="614" spans="1:9" x14ac:dyDescent="0.35">
      <c r="A614" s="1">
        <v>44355</v>
      </c>
      <c r="B614">
        <v>336.70001200000002</v>
      </c>
      <c r="C614">
        <v>338.29998799999998</v>
      </c>
      <c r="D614">
        <v>332.23998999999998</v>
      </c>
      <c r="E614">
        <v>333.67999300000002</v>
      </c>
      <c r="F614">
        <v>333.67999300000002</v>
      </c>
      <c r="G614">
        <v>14580500</v>
      </c>
      <c r="H614" s="2">
        <f t="shared" si="9"/>
        <v>-8.616061893186755E-3</v>
      </c>
      <c r="I614" s="2">
        <f>VLOOKUP(A614,AAPL!A:H,8,)</f>
        <v>6.6719299972688439E-3</v>
      </c>
    </row>
    <row r="615" spans="1:9" x14ac:dyDescent="0.35">
      <c r="A615" s="1">
        <v>44356</v>
      </c>
      <c r="B615">
        <v>335.73998999999998</v>
      </c>
      <c r="C615">
        <v>336.79998799999998</v>
      </c>
      <c r="D615">
        <v>330</v>
      </c>
      <c r="E615">
        <v>330.25</v>
      </c>
      <c r="F615">
        <v>330.25</v>
      </c>
      <c r="G615">
        <v>13727900</v>
      </c>
      <c r="H615" s="2">
        <f t="shared" si="9"/>
        <v>-1.027928875555939E-2</v>
      </c>
      <c r="I615" s="2">
        <f>VLOOKUP(A615,AAPL!A:H,8,)</f>
        <v>3.0771580097390672E-3</v>
      </c>
    </row>
    <row r="616" spans="1:9" x14ac:dyDescent="0.35">
      <c r="A616" s="1">
        <v>44357</v>
      </c>
      <c r="B616">
        <v>330.790009</v>
      </c>
      <c r="C616">
        <v>333.94000199999999</v>
      </c>
      <c r="D616">
        <v>328.54998799999998</v>
      </c>
      <c r="E616">
        <v>332.459991</v>
      </c>
      <c r="F616">
        <v>332.459991</v>
      </c>
      <c r="G616">
        <v>13240200</v>
      </c>
      <c r="H616" s="2">
        <f t="shared" si="9"/>
        <v>6.6918728236184943E-3</v>
      </c>
      <c r="I616" s="2">
        <f>VLOOKUP(A616,AAPL!A:H,8,)</f>
        <v>-8.0232519788386858E-3</v>
      </c>
    </row>
    <row r="617" spans="1:9" x14ac:dyDescent="0.35">
      <c r="A617" s="1">
        <v>44358</v>
      </c>
      <c r="B617">
        <v>332.57998700000002</v>
      </c>
      <c r="C617">
        <v>332.82998700000002</v>
      </c>
      <c r="D617">
        <v>328.92999300000002</v>
      </c>
      <c r="E617">
        <v>331.26001000000002</v>
      </c>
      <c r="F617">
        <v>331.26001000000002</v>
      </c>
      <c r="G617">
        <v>13587900</v>
      </c>
      <c r="H617" s="2">
        <f t="shared" si="9"/>
        <v>-3.6093997247325094E-3</v>
      </c>
      <c r="I617" s="2">
        <f>VLOOKUP(A617,AAPL!A:H,8,)</f>
        <v>9.8326618838104896E-3</v>
      </c>
    </row>
    <row r="618" spans="1:9" x14ac:dyDescent="0.35">
      <c r="A618" s="1">
        <v>44361</v>
      </c>
      <c r="B618">
        <v>331.89999399999999</v>
      </c>
      <c r="C618">
        <v>336.82000699999998</v>
      </c>
      <c r="D618">
        <v>329.80999800000001</v>
      </c>
      <c r="E618">
        <v>336.76998900000001</v>
      </c>
      <c r="F618">
        <v>336.76998900000001</v>
      </c>
      <c r="G618">
        <v>12250800</v>
      </c>
      <c r="H618" s="2">
        <f t="shared" si="9"/>
        <v>1.6633396225520736E-2</v>
      </c>
      <c r="I618" s="2">
        <f>VLOOKUP(A618,AAPL!A:H,8,)</f>
        <v>2.4577919506524104E-2</v>
      </c>
    </row>
    <row r="619" spans="1:9" x14ac:dyDescent="0.35">
      <c r="A619" s="1">
        <v>44362</v>
      </c>
      <c r="B619">
        <v>336.98998999999998</v>
      </c>
      <c r="C619">
        <v>339.92001299999998</v>
      </c>
      <c r="D619">
        <v>335.02999899999998</v>
      </c>
      <c r="E619">
        <v>336.75</v>
      </c>
      <c r="F619">
        <v>336.75</v>
      </c>
      <c r="G619">
        <v>15795200</v>
      </c>
      <c r="H619" s="2">
        <f t="shared" si="9"/>
        <v>-5.9355051378995327E-5</v>
      </c>
      <c r="I619" s="2">
        <f>VLOOKUP(A619,AAPL!A:H,8,)</f>
        <v>-6.4377454456697736E-3</v>
      </c>
    </row>
    <row r="620" spans="1:9" x14ac:dyDescent="0.35">
      <c r="A620" s="1">
        <v>44363</v>
      </c>
      <c r="B620">
        <v>336.70001200000002</v>
      </c>
      <c r="C620">
        <v>337.54998799999998</v>
      </c>
      <c r="D620">
        <v>328.72000100000002</v>
      </c>
      <c r="E620">
        <v>331.07998700000002</v>
      </c>
      <c r="F620">
        <v>331.07998700000002</v>
      </c>
      <c r="G620">
        <v>17232200</v>
      </c>
      <c r="H620" s="2">
        <f t="shared" si="9"/>
        <v>-1.6837455085374819E-2</v>
      </c>
      <c r="I620" s="2">
        <f>VLOOKUP(A620,AAPL!A:H,8,)</f>
        <v>3.9339324586080693E-3</v>
      </c>
    </row>
    <row r="621" spans="1:9" x14ac:dyDescent="0.35">
      <c r="A621" s="1">
        <v>44364</v>
      </c>
      <c r="B621">
        <v>330.48998999999998</v>
      </c>
      <c r="C621">
        <v>337.98001099999999</v>
      </c>
      <c r="D621">
        <v>330.14999399999999</v>
      </c>
      <c r="E621">
        <v>336.51001000000002</v>
      </c>
      <c r="F621">
        <v>336.51001000000002</v>
      </c>
      <c r="G621">
        <v>17794100</v>
      </c>
      <c r="H621" s="2">
        <f t="shared" si="9"/>
        <v>1.6400939993996166E-2</v>
      </c>
      <c r="I621" s="2">
        <f>VLOOKUP(A621,AAPL!A:H,8,)</f>
        <v>1.2600838076104903E-2</v>
      </c>
    </row>
    <row r="622" spans="1:9" x14ac:dyDescent="0.35">
      <c r="A622" s="1">
        <v>44365</v>
      </c>
      <c r="B622">
        <v>334.52999899999998</v>
      </c>
      <c r="C622">
        <v>336.14999399999999</v>
      </c>
      <c r="D622">
        <v>329</v>
      </c>
      <c r="E622">
        <v>329.66000400000001</v>
      </c>
      <c r="F622">
        <v>329.66000400000001</v>
      </c>
      <c r="G622">
        <v>23039500</v>
      </c>
      <c r="H622" s="2">
        <f t="shared" si="9"/>
        <v>-2.035602447606244E-2</v>
      </c>
      <c r="I622" s="2">
        <f>VLOOKUP(A622,AAPL!A:H,8,)</f>
        <v>-1.00917070387887E-2</v>
      </c>
    </row>
    <row r="623" spans="1:9" x14ac:dyDescent="0.35">
      <c r="A623" s="1">
        <v>44368</v>
      </c>
      <c r="B623">
        <v>331.08999599999999</v>
      </c>
      <c r="C623">
        <v>332.92001299999998</v>
      </c>
      <c r="D623">
        <v>327.64999399999999</v>
      </c>
      <c r="E623">
        <v>332.290009</v>
      </c>
      <c r="F623">
        <v>332.290009</v>
      </c>
      <c r="G623">
        <v>11337500</v>
      </c>
      <c r="H623" s="2">
        <f t="shared" si="9"/>
        <v>7.9779317117281145E-3</v>
      </c>
      <c r="I623" s="2">
        <f>VLOOKUP(A623,AAPL!A:H,8,)</f>
        <v>1.4103908487449468E-2</v>
      </c>
    </row>
    <row r="624" spans="1:9" x14ac:dyDescent="0.35">
      <c r="A624" s="1">
        <v>44369</v>
      </c>
      <c r="B624">
        <v>332.69000199999999</v>
      </c>
      <c r="C624">
        <v>339.92001299999998</v>
      </c>
      <c r="D624">
        <v>332.60000600000001</v>
      </c>
      <c r="E624">
        <v>339.02999899999998</v>
      </c>
      <c r="F624">
        <v>339.02999899999998</v>
      </c>
      <c r="G624">
        <v>15345300</v>
      </c>
      <c r="H624" s="2">
        <f t="shared" si="9"/>
        <v>2.028345667172915E-2</v>
      </c>
      <c r="I624" s="2">
        <f>VLOOKUP(A624,AAPL!A:H,8,)</f>
        <v>1.2698359500415091E-2</v>
      </c>
    </row>
    <row r="625" spans="1:9" x14ac:dyDescent="0.35">
      <c r="A625" s="1">
        <v>44370</v>
      </c>
      <c r="B625">
        <v>339.35000600000001</v>
      </c>
      <c r="C625">
        <v>343.42001299999998</v>
      </c>
      <c r="D625">
        <v>338.20001200000002</v>
      </c>
      <c r="E625">
        <v>340.58999599999999</v>
      </c>
      <c r="F625">
        <v>340.58999599999999</v>
      </c>
      <c r="G625">
        <v>14817800</v>
      </c>
      <c r="H625" s="2">
        <f t="shared" si="9"/>
        <v>4.6013538760620865E-3</v>
      </c>
      <c r="I625" s="2">
        <f>VLOOKUP(A625,AAPL!A:H,8,)</f>
        <v>-2.0898567574222371E-3</v>
      </c>
    </row>
    <row r="626" spans="1:9" x14ac:dyDescent="0.35">
      <c r="A626" s="1">
        <v>44371</v>
      </c>
      <c r="B626">
        <v>341.85000600000001</v>
      </c>
      <c r="C626">
        <v>344.89999399999999</v>
      </c>
      <c r="D626">
        <v>341.790009</v>
      </c>
      <c r="E626">
        <v>343.17999300000002</v>
      </c>
      <c r="F626">
        <v>343.17999300000002</v>
      </c>
      <c r="G626">
        <v>12329100</v>
      </c>
      <c r="H626" s="2">
        <f t="shared" si="9"/>
        <v>7.6044423806271855E-3</v>
      </c>
      <c r="I626" s="2">
        <f>VLOOKUP(A626,AAPL!A:H,8,)</f>
        <v>-2.1689828459757754E-3</v>
      </c>
    </row>
    <row r="627" spans="1:9" x14ac:dyDescent="0.35">
      <c r="A627" s="1">
        <v>44372</v>
      </c>
      <c r="B627">
        <v>342.58999599999999</v>
      </c>
      <c r="C627">
        <v>344.11999500000002</v>
      </c>
      <c r="D627">
        <v>339.67999300000002</v>
      </c>
      <c r="E627">
        <v>341.36999500000002</v>
      </c>
      <c r="F627">
        <v>341.36999500000002</v>
      </c>
      <c r="G627">
        <v>14594400</v>
      </c>
      <c r="H627" s="2">
        <f t="shared" si="9"/>
        <v>-5.2741944079472969E-3</v>
      </c>
      <c r="I627" s="2">
        <f>VLOOKUP(A627,AAPL!A:H,8,)</f>
        <v>-2.2487294131253721E-3</v>
      </c>
    </row>
    <row r="628" spans="1:9" x14ac:dyDescent="0.35">
      <c r="A628" s="1">
        <v>44375</v>
      </c>
      <c r="B628">
        <v>342.459991</v>
      </c>
      <c r="C628">
        <v>358.14001500000001</v>
      </c>
      <c r="D628">
        <v>341.76998900000001</v>
      </c>
      <c r="E628">
        <v>355.64001500000001</v>
      </c>
      <c r="F628">
        <v>355.64001500000001</v>
      </c>
      <c r="G628">
        <v>29156100</v>
      </c>
      <c r="H628" s="2">
        <f t="shared" si="9"/>
        <v>4.1802209359378395E-2</v>
      </c>
      <c r="I628" s="2">
        <f>VLOOKUP(A628,AAPL!A:H,8,)</f>
        <v>1.2545999454992129E-2</v>
      </c>
    </row>
    <row r="629" spans="1:9" x14ac:dyDescent="0.35">
      <c r="A629" s="1">
        <v>44376</v>
      </c>
      <c r="B629">
        <v>356.26998900000001</v>
      </c>
      <c r="C629">
        <v>356.73998999999998</v>
      </c>
      <c r="D629">
        <v>349.04998799999998</v>
      </c>
      <c r="E629">
        <v>351.89001500000001</v>
      </c>
      <c r="F629">
        <v>351.89001500000001</v>
      </c>
      <c r="G629">
        <v>21417300</v>
      </c>
      <c r="H629" s="2">
        <f t="shared" si="9"/>
        <v>-1.0544370267220882E-2</v>
      </c>
      <c r="I629" s="2">
        <f>VLOOKUP(A629,AAPL!A:H,8,)</f>
        <v>1.1500244928774661E-2</v>
      </c>
    </row>
    <row r="630" spans="1:9" x14ac:dyDescent="0.35">
      <c r="A630" s="1">
        <v>44377</v>
      </c>
      <c r="B630">
        <v>352.17001299999998</v>
      </c>
      <c r="C630">
        <v>352.92001299999998</v>
      </c>
      <c r="D630">
        <v>347.17001299999998</v>
      </c>
      <c r="E630">
        <v>347.709991</v>
      </c>
      <c r="F630">
        <v>347.709991</v>
      </c>
      <c r="G630">
        <v>15107500</v>
      </c>
      <c r="H630" s="2">
        <f t="shared" si="9"/>
        <v>-1.187877979430596E-2</v>
      </c>
      <c r="I630" s="2">
        <f>VLOOKUP(A630,AAPL!A:H,8,)</f>
        <v>4.6211764890899953E-3</v>
      </c>
    </row>
    <row r="631" spans="1:9" x14ac:dyDescent="0.35">
      <c r="A631" s="1">
        <v>44378</v>
      </c>
      <c r="B631">
        <v>346.82000699999998</v>
      </c>
      <c r="C631">
        <v>354.67001299999998</v>
      </c>
      <c r="D631">
        <v>346.5</v>
      </c>
      <c r="E631">
        <v>354.39001500000001</v>
      </c>
      <c r="F631">
        <v>354.39001500000001</v>
      </c>
      <c r="G631">
        <v>17137000</v>
      </c>
      <c r="H631" s="2">
        <f t="shared" si="9"/>
        <v>1.9211481328990532E-2</v>
      </c>
      <c r="I631" s="2">
        <f>VLOOKUP(A631,AAPL!A:H,8,)</f>
        <v>2.2634125595510923E-3</v>
      </c>
    </row>
    <row r="632" spans="1:9" x14ac:dyDescent="0.35">
      <c r="A632" s="1">
        <v>44379</v>
      </c>
      <c r="B632">
        <v>355.10000600000001</v>
      </c>
      <c r="C632">
        <v>356.44000199999999</v>
      </c>
      <c r="D632">
        <v>352.61999500000002</v>
      </c>
      <c r="E632">
        <v>354.70001200000002</v>
      </c>
      <c r="F632">
        <v>354.70001200000002</v>
      </c>
      <c r="G632">
        <v>11521300</v>
      </c>
      <c r="H632" s="2">
        <f t="shared" si="9"/>
        <v>8.7473401303372889E-4</v>
      </c>
      <c r="I632" s="2">
        <f>VLOOKUP(A632,AAPL!A:H,8,)</f>
        <v>1.9596437106536246E-2</v>
      </c>
    </row>
    <row r="633" spans="1:9" x14ac:dyDescent="0.35">
      <c r="A633" s="1">
        <v>44383</v>
      </c>
      <c r="B633">
        <v>356.5</v>
      </c>
      <c r="C633">
        <v>358.790009</v>
      </c>
      <c r="D633">
        <v>349.17999300000002</v>
      </c>
      <c r="E633">
        <v>352.77999899999998</v>
      </c>
      <c r="F633">
        <v>352.77999899999998</v>
      </c>
      <c r="G633">
        <v>13488500</v>
      </c>
      <c r="H633" s="2">
        <f t="shared" si="9"/>
        <v>-5.4130615591860831E-3</v>
      </c>
      <c r="I633" s="2">
        <f>VLOOKUP(A633,AAPL!A:H,8,)</f>
        <v>1.4718468826598441E-2</v>
      </c>
    </row>
    <row r="634" spans="1:9" x14ac:dyDescent="0.35">
      <c r="A634" s="1">
        <v>44384</v>
      </c>
      <c r="B634">
        <v>355.26001000000002</v>
      </c>
      <c r="C634">
        <v>356.48998999999998</v>
      </c>
      <c r="D634">
        <v>350</v>
      </c>
      <c r="E634">
        <v>350.48998999999998</v>
      </c>
      <c r="F634">
        <v>350.48998999999998</v>
      </c>
      <c r="G634">
        <v>14218900</v>
      </c>
      <c r="H634" s="2">
        <f t="shared" si="9"/>
        <v>-6.4913232226637696E-3</v>
      </c>
      <c r="I634" s="2">
        <f>VLOOKUP(A634,AAPL!A:H,8,)</f>
        <v>1.7955238193064771E-2</v>
      </c>
    </row>
    <row r="635" spans="1:9" x14ac:dyDescent="0.35">
      <c r="A635" s="1">
        <v>44385</v>
      </c>
      <c r="B635">
        <v>345.73001099999999</v>
      </c>
      <c r="C635">
        <v>348.32998700000002</v>
      </c>
      <c r="D635">
        <v>342.55999800000001</v>
      </c>
      <c r="E635">
        <v>345.64999399999999</v>
      </c>
      <c r="F635">
        <v>345.64999399999999</v>
      </c>
      <c r="G635">
        <v>14406500</v>
      </c>
      <c r="H635" s="2">
        <f t="shared" si="9"/>
        <v>-1.3809227476082819E-2</v>
      </c>
      <c r="I635" s="2">
        <f>VLOOKUP(A635,AAPL!A:H,8,)</f>
        <v>-9.1997090378505009E-3</v>
      </c>
    </row>
    <row r="636" spans="1:9" x14ac:dyDescent="0.35">
      <c r="A636" s="1">
        <v>44386</v>
      </c>
      <c r="B636">
        <v>345.32000699999998</v>
      </c>
      <c r="C636">
        <v>350.709991</v>
      </c>
      <c r="D636">
        <v>345.26998900000001</v>
      </c>
      <c r="E636">
        <v>350.42001299999998</v>
      </c>
      <c r="F636">
        <v>350.42001299999998</v>
      </c>
      <c r="G636">
        <v>13018700</v>
      </c>
      <c r="H636" s="2">
        <f t="shared" si="9"/>
        <v>1.3800142001449078E-2</v>
      </c>
      <c r="I636" s="2">
        <f>VLOOKUP(A636,AAPL!A:H,8,)</f>
        <v>1.3054984185458585E-2</v>
      </c>
    </row>
    <row r="637" spans="1:9" x14ac:dyDescent="0.35">
      <c r="A637" s="1">
        <v>44389</v>
      </c>
      <c r="B637">
        <v>351.23001099999999</v>
      </c>
      <c r="C637">
        <v>354.19000199999999</v>
      </c>
      <c r="D637">
        <v>349.64001500000001</v>
      </c>
      <c r="E637">
        <v>353.16000400000001</v>
      </c>
      <c r="F637">
        <v>353.16000400000001</v>
      </c>
      <c r="G637">
        <v>10018600</v>
      </c>
      <c r="H637" s="2">
        <f t="shared" si="9"/>
        <v>7.8191624289449813E-3</v>
      </c>
      <c r="I637" s="2">
        <f>VLOOKUP(A637,AAPL!A:H,8,)</f>
        <v>-4.2037143945716782E-3</v>
      </c>
    </row>
    <row r="638" spans="1:9" x14ac:dyDescent="0.35">
      <c r="A638" s="1">
        <v>44390</v>
      </c>
      <c r="B638">
        <v>351.5</v>
      </c>
      <c r="C638">
        <v>358.48998999999998</v>
      </c>
      <c r="D638">
        <v>348.79998799999998</v>
      </c>
      <c r="E638">
        <v>352.08999599999999</v>
      </c>
      <c r="F638">
        <v>352.08999599999999</v>
      </c>
      <c r="G638">
        <v>11456000</v>
      </c>
      <c r="H638" s="2">
        <f t="shared" si="9"/>
        <v>-3.0298108162895021E-3</v>
      </c>
      <c r="I638" s="2">
        <f>VLOOKUP(A638,AAPL!A:H,8,)</f>
        <v>7.8892664359859754E-3</v>
      </c>
    </row>
    <row r="639" spans="1:9" x14ac:dyDescent="0.35">
      <c r="A639" s="1">
        <v>44391</v>
      </c>
      <c r="B639">
        <v>354.55999800000001</v>
      </c>
      <c r="C639">
        <v>355.20001200000002</v>
      </c>
      <c r="D639">
        <v>346.73001099999999</v>
      </c>
      <c r="E639">
        <v>347.63000499999998</v>
      </c>
      <c r="F639">
        <v>347.63000499999998</v>
      </c>
      <c r="G639">
        <v>13894200</v>
      </c>
      <c r="H639" s="2">
        <f t="shared" si="9"/>
        <v>-1.2667190350957869E-2</v>
      </c>
      <c r="I639" s="2">
        <f>VLOOKUP(A639,AAPL!A:H,8,)</f>
        <v>2.410048766891304E-2</v>
      </c>
    </row>
    <row r="640" spans="1:9" x14ac:dyDescent="0.35">
      <c r="A640" s="1">
        <v>44392</v>
      </c>
      <c r="B640">
        <v>349.23001099999999</v>
      </c>
      <c r="C640">
        <v>349.23001099999999</v>
      </c>
      <c r="D640">
        <v>340.22000100000002</v>
      </c>
      <c r="E640">
        <v>344.459991</v>
      </c>
      <c r="F640">
        <v>344.459991</v>
      </c>
      <c r="G640">
        <v>14781600</v>
      </c>
      <c r="H640" s="2">
        <f t="shared" si="9"/>
        <v>-9.1189309162192922E-3</v>
      </c>
      <c r="I640" s="2">
        <f>VLOOKUP(A640,AAPL!A:H,8,)</f>
        <v>-4.4921087961961037E-3</v>
      </c>
    </row>
    <row r="641" spans="1:9" x14ac:dyDescent="0.35">
      <c r="A641" s="1">
        <v>44393</v>
      </c>
      <c r="B641">
        <v>344.91000400000001</v>
      </c>
      <c r="C641">
        <v>345.98998999999998</v>
      </c>
      <c r="D641">
        <v>340.14001500000001</v>
      </c>
      <c r="E641">
        <v>341.16000400000001</v>
      </c>
      <c r="F641">
        <v>341.16000400000001</v>
      </c>
      <c r="G641">
        <v>11026100</v>
      </c>
      <c r="H641" s="2">
        <f t="shared" si="9"/>
        <v>-9.5801750166102373E-3</v>
      </c>
      <c r="I641" s="2">
        <f>VLOOKUP(A641,AAPL!A:H,8,)</f>
        <v>-1.4075950002046089E-2</v>
      </c>
    </row>
    <row r="642" spans="1:9" x14ac:dyDescent="0.35">
      <c r="A642" s="1">
        <v>44396</v>
      </c>
      <c r="B642">
        <v>337.57000699999998</v>
      </c>
      <c r="C642">
        <v>339.790009</v>
      </c>
      <c r="D642">
        <v>334.540009</v>
      </c>
      <c r="E642">
        <v>336.95001200000002</v>
      </c>
      <c r="F642">
        <v>336.95001200000002</v>
      </c>
      <c r="G642">
        <v>14372300</v>
      </c>
      <c r="H642" s="2">
        <f t="shared" si="9"/>
        <v>-1.2340227314571184E-2</v>
      </c>
      <c r="I642" s="2">
        <f>VLOOKUP(A642,AAPL!A:H,8,)</f>
        <v>-2.6914420567760167E-2</v>
      </c>
    </row>
    <row r="643" spans="1:9" x14ac:dyDescent="0.35">
      <c r="A643" s="1">
        <v>44397</v>
      </c>
      <c r="B643">
        <v>338.79998799999998</v>
      </c>
      <c r="C643">
        <v>343.45001200000002</v>
      </c>
      <c r="D643">
        <v>334.5</v>
      </c>
      <c r="E643">
        <v>341.66000400000001</v>
      </c>
      <c r="F643">
        <v>341.66000400000001</v>
      </c>
      <c r="G643">
        <v>11024300</v>
      </c>
      <c r="H643" s="2">
        <f t="shared" si="9"/>
        <v>1.3978310824336759E-2</v>
      </c>
      <c r="I643" s="2">
        <f>VLOOKUP(A643,AAPL!A:H,8,)</f>
        <v>2.5974005461018024E-2</v>
      </c>
    </row>
    <row r="644" spans="1:9" x14ac:dyDescent="0.35">
      <c r="A644" s="1">
        <v>44398</v>
      </c>
      <c r="B644">
        <v>341.5</v>
      </c>
      <c r="C644">
        <v>346.51998900000001</v>
      </c>
      <c r="D644">
        <v>341.25</v>
      </c>
      <c r="E644">
        <v>346.23001099999999</v>
      </c>
      <c r="F644">
        <v>346.23001099999999</v>
      </c>
      <c r="G644">
        <v>9279700</v>
      </c>
      <c r="H644" s="2">
        <f t="shared" ref="H644:H707" si="10">E644/E643-1</f>
        <v>1.3375891080303237E-2</v>
      </c>
      <c r="I644" s="2">
        <f>VLOOKUP(A644,AAPL!A:H,8,)</f>
        <v>-5.1317142031493956E-3</v>
      </c>
    </row>
    <row r="645" spans="1:9" x14ac:dyDescent="0.35">
      <c r="A645" s="1">
        <v>44399</v>
      </c>
      <c r="B645">
        <v>346.67999300000002</v>
      </c>
      <c r="C645">
        <v>351.540009</v>
      </c>
      <c r="D645">
        <v>345.209991</v>
      </c>
      <c r="E645">
        <v>351.19000199999999</v>
      </c>
      <c r="F645">
        <v>351.19000199999999</v>
      </c>
      <c r="G645">
        <v>12385400</v>
      </c>
      <c r="H645" s="2">
        <f t="shared" si="10"/>
        <v>1.4325710777278733E-2</v>
      </c>
      <c r="I645" s="2">
        <f>VLOOKUP(A645,AAPL!A:H,8,)</f>
        <v>9.6286730245671581E-3</v>
      </c>
    </row>
    <row r="646" spans="1:9" x14ac:dyDescent="0.35">
      <c r="A646" s="1">
        <v>44400</v>
      </c>
      <c r="B646">
        <v>360.91000400000001</v>
      </c>
      <c r="C646">
        <v>375.32998700000002</v>
      </c>
      <c r="D646">
        <v>357.19000199999999</v>
      </c>
      <c r="E646">
        <v>369.790009</v>
      </c>
      <c r="F646">
        <v>369.790009</v>
      </c>
      <c r="G646">
        <v>33694300</v>
      </c>
      <c r="H646" s="2">
        <f t="shared" si="10"/>
        <v>5.2962803308962192E-2</v>
      </c>
      <c r="I646" s="2">
        <f>VLOOKUP(A646,AAPL!A:H,8,)</f>
        <v>1.1989066512485103E-2</v>
      </c>
    </row>
    <row r="647" spans="1:9" x14ac:dyDescent="0.35">
      <c r="A647" s="1">
        <v>44403</v>
      </c>
      <c r="B647">
        <v>369.57998700000002</v>
      </c>
      <c r="C647">
        <v>374.44000199999999</v>
      </c>
      <c r="D647">
        <v>368.22000100000002</v>
      </c>
      <c r="E647">
        <v>372.459991</v>
      </c>
      <c r="F647">
        <v>372.459991</v>
      </c>
      <c r="G647">
        <v>14925200</v>
      </c>
      <c r="H647" s="2">
        <f t="shared" si="10"/>
        <v>7.2202653803985495E-3</v>
      </c>
      <c r="I647" s="2">
        <f>VLOOKUP(A647,AAPL!A:H,8,)</f>
        <v>2.8945005774703159E-3</v>
      </c>
    </row>
    <row r="648" spans="1:9" x14ac:dyDescent="0.35">
      <c r="A648" s="1">
        <v>44404</v>
      </c>
      <c r="B648">
        <v>371.91000400000001</v>
      </c>
      <c r="C648">
        <v>373.14999399999999</v>
      </c>
      <c r="D648">
        <v>364.54998799999998</v>
      </c>
      <c r="E648">
        <v>367.80999800000001</v>
      </c>
      <c r="F648">
        <v>367.80999800000001</v>
      </c>
      <c r="G648">
        <v>15705400</v>
      </c>
      <c r="H648" s="2">
        <f t="shared" si="10"/>
        <v>-1.2484543608336174E-2</v>
      </c>
      <c r="I648" s="2">
        <f>VLOOKUP(A648,AAPL!A:H,8,)</f>
        <v>-1.4900335092947969E-2</v>
      </c>
    </row>
    <row r="649" spans="1:9" x14ac:dyDescent="0.35">
      <c r="A649" s="1">
        <v>44405</v>
      </c>
      <c r="B649">
        <v>374.55999800000001</v>
      </c>
      <c r="C649">
        <v>377.54998799999998</v>
      </c>
      <c r="D649">
        <v>366.92999300000002</v>
      </c>
      <c r="E649">
        <v>373.27999899999998</v>
      </c>
      <c r="F649">
        <v>373.27999899999998</v>
      </c>
      <c r="G649">
        <v>29676900</v>
      </c>
      <c r="H649" s="2">
        <f t="shared" si="10"/>
        <v>1.4871811613995201E-2</v>
      </c>
      <c r="I649" s="2">
        <f>VLOOKUP(A649,AAPL!A:H,8,)</f>
        <v>-1.2196007026067823E-2</v>
      </c>
    </row>
    <row r="650" spans="1:9" x14ac:dyDescent="0.35">
      <c r="A650" s="1">
        <v>44406</v>
      </c>
      <c r="B650">
        <v>361</v>
      </c>
      <c r="C650">
        <v>365.51998900000001</v>
      </c>
      <c r="D650">
        <v>356.73998999999998</v>
      </c>
      <c r="E650">
        <v>358.32000699999998</v>
      </c>
      <c r="F650">
        <v>358.32000699999998</v>
      </c>
      <c r="G650">
        <v>33413200</v>
      </c>
      <c r="H650" s="2">
        <f t="shared" si="10"/>
        <v>-4.0077132554857342E-2</v>
      </c>
      <c r="I650" s="2">
        <f>VLOOKUP(A650,AAPL!A:H,8,)</f>
        <v>4.5523728666676533E-3</v>
      </c>
    </row>
    <row r="651" spans="1:9" x14ac:dyDescent="0.35">
      <c r="A651" s="1">
        <v>44407</v>
      </c>
      <c r="B651">
        <v>354</v>
      </c>
      <c r="C651">
        <v>360.73001099999999</v>
      </c>
      <c r="D651">
        <v>352.94000199999999</v>
      </c>
      <c r="E651">
        <v>356.29998799999998</v>
      </c>
      <c r="F651">
        <v>356.29998799999998</v>
      </c>
      <c r="G651">
        <v>15976200</v>
      </c>
      <c r="H651" s="2">
        <f t="shared" si="10"/>
        <v>-5.6374719818533814E-3</v>
      </c>
      <c r="I651" s="2">
        <f>VLOOKUP(A651,AAPL!A:H,8,)</f>
        <v>1.510587760990223E-3</v>
      </c>
    </row>
    <row r="652" spans="1:9" x14ac:dyDescent="0.35">
      <c r="A652" s="1">
        <v>44410</v>
      </c>
      <c r="B652">
        <v>358.10000600000001</v>
      </c>
      <c r="C652">
        <v>359.39999399999999</v>
      </c>
      <c r="D652">
        <v>350.73998999999998</v>
      </c>
      <c r="E652">
        <v>351.95001200000002</v>
      </c>
      <c r="F652">
        <v>351.95001200000002</v>
      </c>
      <c r="G652">
        <v>13180400</v>
      </c>
      <c r="H652" s="2">
        <f t="shared" si="10"/>
        <v>-1.2208745850420755E-2</v>
      </c>
      <c r="I652" s="2">
        <f>VLOOKUP(A652,AAPL!A:H,8,)</f>
        <v>-2.3309817473537997E-3</v>
      </c>
    </row>
    <row r="653" spans="1:9" x14ac:dyDescent="0.35">
      <c r="A653" s="1">
        <v>44411</v>
      </c>
      <c r="B653">
        <v>352.73001099999999</v>
      </c>
      <c r="C653">
        <v>353.76998900000001</v>
      </c>
      <c r="D653">
        <v>347.70001200000002</v>
      </c>
      <c r="E653">
        <v>351.23998999999998</v>
      </c>
      <c r="F653">
        <v>351.23998999999998</v>
      </c>
      <c r="G653">
        <v>12406100</v>
      </c>
      <c r="H653" s="2">
        <f t="shared" si="10"/>
        <v>-2.0173944474820571E-3</v>
      </c>
      <c r="I653" s="2">
        <f>VLOOKUP(A653,AAPL!A:H,8,)</f>
        <v>1.2644289097188288E-2</v>
      </c>
    </row>
    <row r="654" spans="1:9" x14ac:dyDescent="0.35">
      <c r="A654" s="1">
        <v>44412</v>
      </c>
      <c r="B654">
        <v>352.42001299999998</v>
      </c>
      <c r="C654">
        <v>360.48001099999999</v>
      </c>
      <c r="D654">
        <v>351.51001000000002</v>
      </c>
      <c r="E654">
        <v>358.92001299999998</v>
      </c>
      <c r="F654">
        <v>358.92001299999998</v>
      </c>
      <c r="G654">
        <v>14180600</v>
      </c>
      <c r="H654" s="2">
        <f t="shared" si="10"/>
        <v>2.1865457290327406E-2</v>
      </c>
      <c r="I654" s="2">
        <f>VLOOKUP(A654,AAPL!A:H,8,)</f>
        <v>-2.7823289713468924E-3</v>
      </c>
    </row>
    <row r="655" spans="1:9" x14ac:dyDescent="0.35">
      <c r="A655" s="1">
        <v>44413</v>
      </c>
      <c r="B655">
        <v>359.64001500000001</v>
      </c>
      <c r="C655">
        <v>363.89999399999999</v>
      </c>
      <c r="D655">
        <v>356.89999399999999</v>
      </c>
      <c r="E655">
        <v>362.97000100000002</v>
      </c>
      <c r="F655">
        <v>362.97000100000002</v>
      </c>
      <c r="G655">
        <v>10247200</v>
      </c>
      <c r="H655" s="2">
        <f t="shared" si="10"/>
        <v>1.1283817712332667E-2</v>
      </c>
      <c r="I655" s="2">
        <f>VLOOKUP(A655,AAPL!A:H,8,)</f>
        <v>7.4856075022577961E-4</v>
      </c>
    </row>
    <row r="656" spans="1:9" x14ac:dyDescent="0.35">
      <c r="A656" s="1">
        <v>44414</v>
      </c>
      <c r="B656">
        <v>361.39999399999999</v>
      </c>
      <c r="C656">
        <v>365.14999399999999</v>
      </c>
      <c r="D656">
        <v>361.39999399999999</v>
      </c>
      <c r="E656">
        <v>363.51001000000002</v>
      </c>
      <c r="F656">
        <v>363.51001000000002</v>
      </c>
      <c r="G656">
        <v>8925000</v>
      </c>
      <c r="H656" s="2">
        <f t="shared" si="10"/>
        <v>1.487751049707331E-3</v>
      </c>
      <c r="I656" s="2">
        <f>VLOOKUP(A656,AAPL!A:H,8,)</f>
        <v>-6.2559432375350887E-3</v>
      </c>
    </row>
    <row r="657" spans="1:9" x14ac:dyDescent="0.35">
      <c r="A657" s="1">
        <v>44417</v>
      </c>
      <c r="B657">
        <v>363.76001000000002</v>
      </c>
      <c r="C657">
        <v>365.77999899999998</v>
      </c>
      <c r="D657">
        <v>360.75</v>
      </c>
      <c r="E657">
        <v>361.60998499999999</v>
      </c>
      <c r="F657">
        <v>361.60998499999999</v>
      </c>
      <c r="G657">
        <v>7798900</v>
      </c>
      <c r="H657" s="2">
        <f t="shared" si="10"/>
        <v>-5.2268849487804303E-3</v>
      </c>
      <c r="I657" s="2">
        <f>VLOOKUP(A657,AAPL!A:H,8,)</f>
        <v>-3.4215820680261189E-4</v>
      </c>
    </row>
    <row r="658" spans="1:9" x14ac:dyDescent="0.35">
      <c r="A658" s="1">
        <v>44418</v>
      </c>
      <c r="B658">
        <v>361.82998700000002</v>
      </c>
      <c r="C658">
        <v>364.10000600000001</v>
      </c>
      <c r="D658">
        <v>359.040009</v>
      </c>
      <c r="E658">
        <v>361.13000499999998</v>
      </c>
      <c r="F658">
        <v>361.13000499999998</v>
      </c>
      <c r="G658">
        <v>7469900</v>
      </c>
      <c r="H658" s="2">
        <f t="shared" si="10"/>
        <v>-1.3273416661877535E-3</v>
      </c>
      <c r="I658" s="2">
        <f>VLOOKUP(A658,AAPL!A:H,8,)</f>
        <v>-3.3540284305298984E-3</v>
      </c>
    </row>
    <row r="659" spans="1:9" x14ac:dyDescent="0.35">
      <c r="A659" s="1">
        <v>44419</v>
      </c>
      <c r="B659">
        <v>362.10000600000001</v>
      </c>
      <c r="C659">
        <v>362.35998499999999</v>
      </c>
      <c r="D659">
        <v>357.80999800000001</v>
      </c>
      <c r="E659">
        <v>359.959991</v>
      </c>
      <c r="F659">
        <v>359.959991</v>
      </c>
      <c r="G659">
        <v>8400300</v>
      </c>
      <c r="H659" s="2">
        <f t="shared" si="10"/>
        <v>-3.2398692542868757E-3</v>
      </c>
      <c r="I659" s="2">
        <f>VLOOKUP(A659,AAPL!A:H,8,)</f>
        <v>1.7856798714692701E-3</v>
      </c>
    </row>
    <row r="660" spans="1:9" x14ac:dyDescent="0.35">
      <c r="A660" s="1">
        <v>44420</v>
      </c>
      <c r="B660">
        <v>358.45001200000002</v>
      </c>
      <c r="C660">
        <v>363</v>
      </c>
      <c r="D660">
        <v>357.10998499999999</v>
      </c>
      <c r="E660">
        <v>362.64999399999999</v>
      </c>
      <c r="F660">
        <v>362.64999399999999</v>
      </c>
      <c r="G660">
        <v>7170700</v>
      </c>
      <c r="H660" s="2">
        <f t="shared" si="10"/>
        <v>7.4730610825022303E-3</v>
      </c>
      <c r="I660" s="2">
        <f>VLOOKUP(A660,AAPL!A:H,8,)</f>
        <v>2.0773330448557781E-2</v>
      </c>
    </row>
    <row r="661" spans="1:9" x14ac:dyDescent="0.35">
      <c r="A661" s="1">
        <v>44421</v>
      </c>
      <c r="B661">
        <v>362.97000100000002</v>
      </c>
      <c r="C661">
        <v>364.66000400000001</v>
      </c>
      <c r="D661">
        <v>361.48001099999999</v>
      </c>
      <c r="E661">
        <v>363.17999300000002</v>
      </c>
      <c r="F661">
        <v>363.17999300000002</v>
      </c>
      <c r="G661">
        <v>7195700</v>
      </c>
      <c r="H661" s="2">
        <f t="shared" si="10"/>
        <v>1.4614614884014276E-3</v>
      </c>
      <c r="I661" s="2">
        <f>VLOOKUP(A661,AAPL!A:H,8,)</f>
        <v>1.410484259591005E-3</v>
      </c>
    </row>
    <row r="662" spans="1:9" x14ac:dyDescent="0.35">
      <c r="A662" s="1">
        <v>44424</v>
      </c>
      <c r="B662">
        <v>362.51998900000001</v>
      </c>
      <c r="C662">
        <v>366.95001200000002</v>
      </c>
      <c r="D662">
        <v>357.38000499999998</v>
      </c>
      <c r="E662">
        <v>366.55999800000001</v>
      </c>
      <c r="F662">
        <v>366.55999800000001</v>
      </c>
      <c r="G662">
        <v>11222100</v>
      </c>
      <c r="H662" s="2">
        <f t="shared" si="10"/>
        <v>9.3066938299104507E-3</v>
      </c>
      <c r="I662" s="2">
        <f>VLOOKUP(A662,AAPL!A:H,8,)</f>
        <v>1.354788007184915E-2</v>
      </c>
    </row>
    <row r="663" spans="1:9" x14ac:dyDescent="0.35">
      <c r="A663" s="1">
        <v>44425</v>
      </c>
      <c r="B663">
        <v>362.98001099999999</v>
      </c>
      <c r="C663">
        <v>364.67001299999998</v>
      </c>
      <c r="D663">
        <v>355.07000699999998</v>
      </c>
      <c r="E663">
        <v>358.45001200000002</v>
      </c>
      <c r="F663">
        <v>358.45001200000002</v>
      </c>
      <c r="G663">
        <v>12328700</v>
      </c>
      <c r="H663" s="2">
        <f t="shared" si="10"/>
        <v>-2.2124579998497262E-2</v>
      </c>
      <c r="I663" s="2">
        <f>VLOOKUP(A663,AAPL!A:H,8,)</f>
        <v>-6.1540036445871804E-3</v>
      </c>
    </row>
    <row r="664" spans="1:9" x14ac:dyDescent="0.35">
      <c r="A664" s="1">
        <v>44426</v>
      </c>
      <c r="B664">
        <v>356.25</v>
      </c>
      <c r="C664">
        <v>359.85998499999999</v>
      </c>
      <c r="D664">
        <v>355.14999399999999</v>
      </c>
      <c r="E664">
        <v>355.45001200000002</v>
      </c>
      <c r="F664">
        <v>355.45001200000002</v>
      </c>
      <c r="G664">
        <v>10042400</v>
      </c>
      <c r="H664" s="2">
        <f t="shared" si="10"/>
        <v>-8.3693678325221788E-3</v>
      </c>
      <c r="I664" s="2">
        <f>VLOOKUP(A664,AAPL!A:H,8,)</f>
        <v>-2.5501038344749372E-2</v>
      </c>
    </row>
    <row r="665" spans="1:9" x14ac:dyDescent="0.35">
      <c r="A665" s="1">
        <v>44427</v>
      </c>
      <c r="B665">
        <v>351.35000600000001</v>
      </c>
      <c r="C665">
        <v>357.57000699999998</v>
      </c>
      <c r="D665">
        <v>351</v>
      </c>
      <c r="E665">
        <v>355.11999500000002</v>
      </c>
      <c r="F665">
        <v>355.11999500000002</v>
      </c>
      <c r="G665">
        <v>12004500</v>
      </c>
      <c r="H665" s="2">
        <f t="shared" si="10"/>
        <v>-9.2844841428785241E-4</v>
      </c>
      <c r="I665" s="2">
        <f>VLOOKUP(A665,AAPL!A:H,8,)</f>
        <v>2.3230117359727132E-3</v>
      </c>
    </row>
    <row r="666" spans="1:9" x14ac:dyDescent="0.35">
      <c r="A666" s="1">
        <v>44428</v>
      </c>
      <c r="B666">
        <v>354.60000600000001</v>
      </c>
      <c r="C666">
        <v>359.98998999999998</v>
      </c>
      <c r="D666">
        <v>353.30999800000001</v>
      </c>
      <c r="E666">
        <v>359.36999500000002</v>
      </c>
      <c r="F666">
        <v>359.36999500000002</v>
      </c>
      <c r="G666">
        <v>8697700</v>
      </c>
      <c r="H666" s="2">
        <f t="shared" si="10"/>
        <v>1.1967785705786493E-2</v>
      </c>
      <c r="I666" s="2">
        <f>VLOOKUP(A666,AAPL!A:H,8,)</f>
        <v>1.015681684028924E-2</v>
      </c>
    </row>
    <row r="667" spans="1:9" x14ac:dyDescent="0.35">
      <c r="A667" s="1">
        <v>44431</v>
      </c>
      <c r="B667">
        <v>359.44000199999999</v>
      </c>
      <c r="C667">
        <v>365.69000199999999</v>
      </c>
      <c r="D667">
        <v>359.10000600000001</v>
      </c>
      <c r="E667">
        <v>363.35000600000001</v>
      </c>
      <c r="F667">
        <v>363.35000600000001</v>
      </c>
      <c r="G667">
        <v>10942000</v>
      </c>
      <c r="H667" s="2">
        <f t="shared" si="10"/>
        <v>1.1074967457981533E-2</v>
      </c>
      <c r="I667" s="2">
        <f>VLOOKUP(A667,AAPL!A:H,8,)</f>
        <v>1.0257135970616948E-2</v>
      </c>
    </row>
    <row r="668" spans="1:9" x14ac:dyDescent="0.35">
      <c r="A668" s="1">
        <v>44432</v>
      </c>
      <c r="B668">
        <v>363.66000400000001</v>
      </c>
      <c r="C668">
        <v>367.959991</v>
      </c>
      <c r="D668">
        <v>361.83999599999999</v>
      </c>
      <c r="E668">
        <v>365.51001000000002</v>
      </c>
      <c r="F668">
        <v>365.51001000000002</v>
      </c>
      <c r="G668">
        <v>9235100</v>
      </c>
      <c r="H668" s="2">
        <f t="shared" si="10"/>
        <v>5.9446923471360158E-3</v>
      </c>
      <c r="I668" s="2">
        <f>VLOOKUP(A668,AAPL!A:H,8,)</f>
        <v>-6.0124237386482982E-4</v>
      </c>
    </row>
    <row r="669" spans="1:9" x14ac:dyDescent="0.35">
      <c r="A669" s="1">
        <v>44433</v>
      </c>
      <c r="B669">
        <v>365.60000600000001</v>
      </c>
      <c r="C669">
        <v>370.85998499999999</v>
      </c>
      <c r="D669">
        <v>365.39999399999999</v>
      </c>
      <c r="E669">
        <v>368.39001500000001</v>
      </c>
      <c r="F669">
        <v>368.39001500000001</v>
      </c>
      <c r="G669">
        <v>9684500</v>
      </c>
      <c r="H669" s="2">
        <f t="shared" si="10"/>
        <v>7.8794148483101178E-3</v>
      </c>
      <c r="I669" s="2">
        <f>VLOOKUP(A669,AAPL!A:H,8,)</f>
        <v>-8.4212942260823986E-3</v>
      </c>
    </row>
    <row r="670" spans="1:9" x14ac:dyDescent="0.35">
      <c r="A670" s="1">
        <v>44434</v>
      </c>
      <c r="B670">
        <v>368.38000499999998</v>
      </c>
      <c r="C670">
        <v>369.44000199999999</v>
      </c>
      <c r="D670">
        <v>364.13000499999998</v>
      </c>
      <c r="E670">
        <v>364.38000499999998</v>
      </c>
      <c r="F670">
        <v>364.38000499999998</v>
      </c>
      <c r="G670">
        <v>7888700</v>
      </c>
      <c r="H670" s="2">
        <f t="shared" si="10"/>
        <v>-1.0885229883334402E-2</v>
      </c>
      <c r="I670" s="2">
        <f>VLOOKUP(A670,AAPL!A:H,8,)</f>
        <v>-5.5271501379944299E-3</v>
      </c>
    </row>
    <row r="671" spans="1:9" x14ac:dyDescent="0.35">
      <c r="A671" s="1">
        <v>44435</v>
      </c>
      <c r="B671">
        <v>365.10000600000001</v>
      </c>
      <c r="C671">
        <v>373.73998999999998</v>
      </c>
      <c r="D671">
        <v>364.07998700000002</v>
      </c>
      <c r="E671">
        <v>372.63000499999998</v>
      </c>
      <c r="F671">
        <v>372.63000499999998</v>
      </c>
      <c r="G671">
        <v>11219100</v>
      </c>
      <c r="H671" s="2">
        <f t="shared" si="10"/>
        <v>2.2641198437878041E-2</v>
      </c>
      <c r="I671" s="2">
        <f>VLOOKUP(A671,AAPL!A:H,8,)</f>
        <v>7.1845807936292694E-3</v>
      </c>
    </row>
    <row r="672" spans="1:9" x14ac:dyDescent="0.35">
      <c r="A672" s="1">
        <v>44438</v>
      </c>
      <c r="B672">
        <v>372.55999800000001</v>
      </c>
      <c r="C672">
        <v>381.48998999999998</v>
      </c>
      <c r="D672">
        <v>370.51998900000001</v>
      </c>
      <c r="E672">
        <v>380.66000400000001</v>
      </c>
      <c r="F672">
        <v>380.66000400000001</v>
      </c>
      <c r="G672">
        <v>13547300</v>
      </c>
      <c r="H672" s="2">
        <f t="shared" si="10"/>
        <v>2.1549523367019319E-2</v>
      </c>
      <c r="I672" s="2">
        <f>VLOOKUP(A672,AAPL!A:H,8,)</f>
        <v>3.0417152203883413E-2</v>
      </c>
    </row>
    <row r="673" spans="1:9" x14ac:dyDescent="0.35">
      <c r="A673" s="1">
        <v>44439</v>
      </c>
      <c r="B673">
        <v>379.95001200000002</v>
      </c>
      <c r="C673">
        <v>382.76001000000002</v>
      </c>
      <c r="D673">
        <v>378.79998799999998</v>
      </c>
      <c r="E673">
        <v>379.38000499999998</v>
      </c>
      <c r="F673">
        <v>379.38000499999998</v>
      </c>
      <c r="G673">
        <v>12345400</v>
      </c>
      <c r="H673" s="2">
        <f t="shared" si="10"/>
        <v>-3.3625781183989067E-3</v>
      </c>
      <c r="I673" s="2">
        <f>VLOOKUP(A673,AAPL!A:H,8,)</f>
        <v>-8.4247194496054334E-3</v>
      </c>
    </row>
    <row r="674" spans="1:9" x14ac:dyDescent="0.35">
      <c r="A674" s="1">
        <v>44440</v>
      </c>
      <c r="B674">
        <v>379.58999599999999</v>
      </c>
      <c r="C674">
        <v>384.32998700000002</v>
      </c>
      <c r="D674">
        <v>378.80999800000001</v>
      </c>
      <c r="E674">
        <v>382.04998799999998</v>
      </c>
      <c r="F674">
        <v>382.04998799999998</v>
      </c>
      <c r="G674">
        <v>11567200</v>
      </c>
      <c r="H674" s="2">
        <f t="shared" si="10"/>
        <v>7.0377536106573935E-3</v>
      </c>
      <c r="I674" s="2">
        <f>VLOOKUP(A674,AAPL!A:H,8,)</f>
        <v>4.4786471121827098E-3</v>
      </c>
    </row>
    <row r="675" spans="1:9" x14ac:dyDescent="0.35">
      <c r="A675" s="1">
        <v>44441</v>
      </c>
      <c r="B675">
        <v>381.5</v>
      </c>
      <c r="C675">
        <v>381.75</v>
      </c>
      <c r="D675">
        <v>374.05999800000001</v>
      </c>
      <c r="E675">
        <v>375.27999899999998</v>
      </c>
      <c r="F675">
        <v>375.27999899999998</v>
      </c>
      <c r="G675">
        <v>14832900</v>
      </c>
      <c r="H675" s="2">
        <f t="shared" si="10"/>
        <v>-1.7720165456463821E-2</v>
      </c>
      <c r="I675" s="2">
        <f>VLOOKUP(A675,AAPL!A:H,8,)</f>
        <v>7.4749133655140909E-3</v>
      </c>
    </row>
    <row r="676" spans="1:9" x14ac:dyDescent="0.35">
      <c r="A676" s="1">
        <v>44442</v>
      </c>
      <c r="B676">
        <v>374.75</v>
      </c>
      <c r="C676">
        <v>377.16000400000001</v>
      </c>
      <c r="D676">
        <v>373.10998499999999</v>
      </c>
      <c r="E676">
        <v>376.26001000000002</v>
      </c>
      <c r="F676">
        <v>376.26001000000002</v>
      </c>
      <c r="G676">
        <v>7509600</v>
      </c>
      <c r="H676" s="2">
        <f t="shared" si="10"/>
        <v>2.6114128187260111E-3</v>
      </c>
      <c r="I676" s="2">
        <f>VLOOKUP(A676,AAPL!A:H,8,)</f>
        <v>4.2304524919150044E-3</v>
      </c>
    </row>
    <row r="677" spans="1:9" x14ac:dyDescent="0.35">
      <c r="A677" s="1">
        <v>44446</v>
      </c>
      <c r="B677">
        <v>375.88000499999998</v>
      </c>
      <c r="C677">
        <v>382.959991</v>
      </c>
      <c r="D677">
        <v>373.14999399999999</v>
      </c>
      <c r="E677">
        <v>382.17999300000002</v>
      </c>
      <c r="F677">
        <v>382.17999300000002</v>
      </c>
      <c r="G677">
        <v>10793800</v>
      </c>
      <c r="H677" s="2">
        <f t="shared" si="10"/>
        <v>1.5733755495302315E-2</v>
      </c>
      <c r="I677" s="2">
        <f>VLOOKUP(A677,AAPL!A:H,8,)</f>
        <v>1.5489299763655762E-2</v>
      </c>
    </row>
    <row r="678" spans="1:9" x14ac:dyDescent="0.35">
      <c r="A678" s="1">
        <v>44447</v>
      </c>
      <c r="B678">
        <v>380.16000400000001</v>
      </c>
      <c r="C678">
        <v>380.86999500000002</v>
      </c>
      <c r="D678">
        <v>374.790009</v>
      </c>
      <c r="E678">
        <v>377.57000699999998</v>
      </c>
      <c r="F678">
        <v>377.57000699999998</v>
      </c>
      <c r="G678">
        <v>11067200</v>
      </c>
      <c r="H678" s="2">
        <f t="shared" si="10"/>
        <v>-1.2062342572705109E-2</v>
      </c>
      <c r="I678" s="2">
        <f>VLOOKUP(A678,AAPL!A:H,8,)</f>
        <v>-1.0083610822852473E-2</v>
      </c>
    </row>
    <row r="679" spans="1:9" x14ac:dyDescent="0.35">
      <c r="A679" s="1">
        <v>44448</v>
      </c>
      <c r="B679">
        <v>377.64001500000001</v>
      </c>
      <c r="C679">
        <v>379.82998700000002</v>
      </c>
      <c r="D679">
        <v>376.57000699999998</v>
      </c>
      <c r="E679">
        <v>378</v>
      </c>
      <c r="F679">
        <v>378</v>
      </c>
      <c r="G679">
        <v>9098900</v>
      </c>
      <c r="H679" s="2">
        <f t="shared" si="10"/>
        <v>1.1388431073129368E-3</v>
      </c>
      <c r="I679" s="2">
        <f>VLOOKUP(A679,AAPL!A:H,8,)</f>
        <v>-6.7048803642262289E-3</v>
      </c>
    </row>
    <row r="680" spans="1:9" x14ac:dyDescent="0.35">
      <c r="A680" s="1">
        <v>44449</v>
      </c>
      <c r="B680">
        <v>381.35998499999999</v>
      </c>
      <c r="C680">
        <v>383.790009</v>
      </c>
      <c r="D680">
        <v>378.26001000000002</v>
      </c>
      <c r="E680">
        <v>378.69000199999999</v>
      </c>
      <c r="F680">
        <v>378.69000199999999</v>
      </c>
      <c r="G680">
        <v>11549600</v>
      </c>
      <c r="H680" s="2">
        <f t="shared" si="10"/>
        <v>1.8254021164021417E-3</v>
      </c>
      <c r="I680" s="2">
        <f>VLOOKUP(A680,AAPL!A:H,8,)</f>
        <v>-3.3101874266806552E-2</v>
      </c>
    </row>
    <row r="681" spans="1:9" x14ac:dyDescent="0.35">
      <c r="A681" s="1">
        <v>44452</v>
      </c>
      <c r="B681">
        <v>381.67999300000002</v>
      </c>
      <c r="C681">
        <v>381.75</v>
      </c>
      <c r="D681">
        <v>374.35000600000001</v>
      </c>
      <c r="E681">
        <v>376.51001000000002</v>
      </c>
      <c r="F681">
        <v>376.51001000000002</v>
      </c>
      <c r="G681">
        <v>13026300</v>
      </c>
      <c r="H681" s="2">
        <f t="shared" si="10"/>
        <v>-5.756666372195296E-3</v>
      </c>
      <c r="I681" s="2">
        <f>VLOOKUP(A681,AAPL!A:H,8,)</f>
        <v>3.8934147553641996E-3</v>
      </c>
    </row>
    <row r="682" spans="1:9" x14ac:dyDescent="0.35">
      <c r="A682" s="1">
        <v>44453</v>
      </c>
      <c r="B682">
        <v>377.39999399999999</v>
      </c>
      <c r="C682">
        <v>378.58999599999999</v>
      </c>
      <c r="D682">
        <v>375.10998499999999</v>
      </c>
      <c r="E682">
        <v>376.52999899999998</v>
      </c>
      <c r="F682">
        <v>376.52999899999998</v>
      </c>
      <c r="G682">
        <v>8711600</v>
      </c>
      <c r="H682" s="2">
        <f t="shared" si="10"/>
        <v>5.3090221957097228E-5</v>
      </c>
      <c r="I682" s="2">
        <f>VLOOKUP(A682,AAPL!A:H,8,)</f>
        <v>-9.5620726935058409E-3</v>
      </c>
    </row>
    <row r="683" spans="1:9" x14ac:dyDescent="0.35">
      <c r="A683" s="1">
        <v>44454</v>
      </c>
      <c r="B683">
        <v>377</v>
      </c>
      <c r="C683">
        <v>377.55999800000001</v>
      </c>
      <c r="D683">
        <v>367.67001299999998</v>
      </c>
      <c r="E683">
        <v>373.92001299999998</v>
      </c>
      <c r="F683">
        <v>373.92001299999998</v>
      </c>
      <c r="G683">
        <v>17940300</v>
      </c>
      <c r="H683" s="2">
        <f t="shared" si="10"/>
        <v>-6.9316814249373859E-3</v>
      </c>
      <c r="I683" s="2">
        <f>VLOOKUP(A683,AAPL!A:H,8,)</f>
        <v>6.1436945093065187E-3</v>
      </c>
    </row>
    <row r="684" spans="1:9" x14ac:dyDescent="0.35">
      <c r="A684" s="1">
        <v>44455</v>
      </c>
      <c r="B684">
        <v>372.790009</v>
      </c>
      <c r="C684">
        <v>373.55999800000001</v>
      </c>
      <c r="D684">
        <v>369.709991</v>
      </c>
      <c r="E684">
        <v>373.05999800000001</v>
      </c>
      <c r="F684">
        <v>373.05999800000001</v>
      </c>
      <c r="G684">
        <v>11934200</v>
      </c>
      <c r="H684" s="2">
        <f t="shared" si="10"/>
        <v>-2.2999972456675399E-3</v>
      </c>
      <c r="I684" s="2">
        <f>VLOOKUP(A684,AAPL!A:H,8,)</f>
        <v>-1.6104542817583223E-3</v>
      </c>
    </row>
    <row r="685" spans="1:9" x14ac:dyDescent="0.35">
      <c r="A685" s="1">
        <v>44456</v>
      </c>
      <c r="B685">
        <v>371.41000400000001</v>
      </c>
      <c r="C685">
        <v>371.41000400000001</v>
      </c>
      <c r="D685">
        <v>361.58999599999999</v>
      </c>
      <c r="E685">
        <v>364.72000100000002</v>
      </c>
      <c r="F685">
        <v>364.72000100000002</v>
      </c>
      <c r="G685">
        <v>26299000</v>
      </c>
      <c r="H685" s="2">
        <f t="shared" si="10"/>
        <v>-2.235564532437484E-2</v>
      </c>
      <c r="I685" s="2">
        <f>VLOOKUP(A685,AAPL!A:H,8,)</f>
        <v>-1.8347974517345378E-2</v>
      </c>
    </row>
    <row r="686" spans="1:9" x14ac:dyDescent="0.35">
      <c r="A686" s="1">
        <v>44459</v>
      </c>
      <c r="B686">
        <v>359.29998799999998</v>
      </c>
      <c r="C686">
        <v>361.02999899999998</v>
      </c>
      <c r="D686">
        <v>349.79998799999998</v>
      </c>
      <c r="E686">
        <v>355.70001200000002</v>
      </c>
      <c r="F686">
        <v>355.70001200000002</v>
      </c>
      <c r="G686">
        <v>19822800</v>
      </c>
      <c r="H686" s="2">
        <f t="shared" si="10"/>
        <v>-2.4731270495911173E-2</v>
      </c>
      <c r="I686" s="2">
        <f>VLOOKUP(A686,AAPL!A:H,8,)</f>
        <v>-2.1361057392319083E-2</v>
      </c>
    </row>
    <row r="687" spans="1:9" x14ac:dyDescent="0.35">
      <c r="A687" s="1">
        <v>44460</v>
      </c>
      <c r="B687">
        <v>358.5</v>
      </c>
      <c r="C687">
        <v>360.040009</v>
      </c>
      <c r="D687">
        <v>355.19000199999999</v>
      </c>
      <c r="E687">
        <v>357.48001099999999</v>
      </c>
      <c r="F687">
        <v>357.48001099999999</v>
      </c>
      <c r="G687">
        <v>11751900</v>
      </c>
      <c r="H687" s="2">
        <f t="shared" si="10"/>
        <v>5.0042140566470827E-3</v>
      </c>
      <c r="I687" s="2">
        <f>VLOOKUP(A687,AAPL!A:H,8,)</f>
        <v>3.4279487417385734E-3</v>
      </c>
    </row>
    <row r="688" spans="1:9" x14ac:dyDescent="0.35">
      <c r="A688" s="1">
        <v>44461</v>
      </c>
      <c r="B688">
        <v>347.23001099999999</v>
      </c>
      <c r="C688">
        <v>349.83999599999999</v>
      </c>
      <c r="D688">
        <v>340.69000199999999</v>
      </c>
      <c r="E688">
        <v>343.209991</v>
      </c>
      <c r="F688">
        <v>343.209991</v>
      </c>
      <c r="G688">
        <v>43692900</v>
      </c>
      <c r="H688" s="2">
        <f t="shared" si="10"/>
        <v>-3.9918371827508903E-2</v>
      </c>
      <c r="I688" s="2">
        <f>VLOOKUP(A688,AAPL!A:H,8,)</f>
        <v>1.6872433368939843E-2</v>
      </c>
    </row>
    <row r="689" spans="1:9" x14ac:dyDescent="0.35">
      <c r="A689" s="1">
        <v>44462</v>
      </c>
      <c r="B689">
        <v>345.35998499999999</v>
      </c>
      <c r="C689">
        <v>349.67001299999998</v>
      </c>
      <c r="D689">
        <v>343</v>
      </c>
      <c r="E689">
        <v>345.959991</v>
      </c>
      <c r="F689">
        <v>345.959991</v>
      </c>
      <c r="G689">
        <v>21806300</v>
      </c>
      <c r="H689" s="2">
        <f t="shared" si="10"/>
        <v>8.0125872559462241E-3</v>
      </c>
      <c r="I689" s="2">
        <f>VLOOKUP(A689,AAPL!A:H,8,)</f>
        <v>6.7192043859085615E-3</v>
      </c>
    </row>
    <row r="690" spans="1:9" x14ac:dyDescent="0.35">
      <c r="A690" s="1">
        <v>44463</v>
      </c>
      <c r="B690">
        <v>343.23998999999998</v>
      </c>
      <c r="C690">
        <v>354.35000600000001</v>
      </c>
      <c r="D690">
        <v>342.36999500000002</v>
      </c>
      <c r="E690">
        <v>352.959991</v>
      </c>
      <c r="F690">
        <v>352.959991</v>
      </c>
      <c r="G690">
        <v>18801900</v>
      </c>
      <c r="H690" s="2">
        <f t="shared" si="10"/>
        <v>2.023355353827605E-2</v>
      </c>
      <c r="I690" s="2">
        <f>VLOOKUP(A690,AAPL!A:H,8,)</f>
        <v>6.1292650530631043E-4</v>
      </c>
    </row>
    <row r="691" spans="1:9" x14ac:dyDescent="0.35">
      <c r="A691" s="1">
        <v>44466</v>
      </c>
      <c r="B691">
        <v>349.80999800000001</v>
      </c>
      <c r="C691">
        <v>355.14999399999999</v>
      </c>
      <c r="D691">
        <v>347.07998700000002</v>
      </c>
      <c r="E691">
        <v>353.57998700000002</v>
      </c>
      <c r="F691">
        <v>353.57998700000002</v>
      </c>
      <c r="G691">
        <v>15205800</v>
      </c>
      <c r="H691" s="2">
        <f t="shared" si="10"/>
        <v>1.7565616948354013E-3</v>
      </c>
      <c r="I691" s="2">
        <f>VLOOKUP(A691,AAPL!A:H,8,)</f>
        <v>-1.0549979724339575E-2</v>
      </c>
    </row>
    <row r="692" spans="1:9" x14ac:dyDescent="0.35">
      <c r="A692" s="1">
        <v>44467</v>
      </c>
      <c r="B692">
        <v>347.97000100000002</v>
      </c>
      <c r="C692">
        <v>349.60000600000001</v>
      </c>
      <c r="D692">
        <v>338.92001299999998</v>
      </c>
      <c r="E692">
        <v>340.64999399999999</v>
      </c>
      <c r="F692">
        <v>340.64999399999999</v>
      </c>
      <c r="G692">
        <v>21710300</v>
      </c>
      <c r="H692" s="2">
        <f t="shared" si="10"/>
        <v>-3.6568792000097106E-2</v>
      </c>
      <c r="I692" s="2">
        <f>VLOOKUP(A692,AAPL!A:H,8,)</f>
        <v>-2.3801273433351922E-2</v>
      </c>
    </row>
    <row r="693" spans="1:9" x14ac:dyDescent="0.35">
      <c r="A693" s="1">
        <v>44468</v>
      </c>
      <c r="B693">
        <v>343.14999399999999</v>
      </c>
      <c r="C693">
        <v>345.23001099999999</v>
      </c>
      <c r="D693">
        <v>338.88000499999998</v>
      </c>
      <c r="E693">
        <v>339.60998499999999</v>
      </c>
      <c r="F693">
        <v>339.60998499999999</v>
      </c>
      <c r="G693">
        <v>14452200</v>
      </c>
      <c r="H693" s="2">
        <f t="shared" si="10"/>
        <v>-3.0530134105917206E-3</v>
      </c>
      <c r="I693" s="2">
        <f>VLOOKUP(A693,AAPL!A:H,8,)</f>
        <v>6.4829678956250802E-3</v>
      </c>
    </row>
    <row r="694" spans="1:9" x14ac:dyDescent="0.35">
      <c r="A694" s="1">
        <v>44469</v>
      </c>
      <c r="B694">
        <v>340.45001200000002</v>
      </c>
      <c r="C694">
        <v>342.79998799999998</v>
      </c>
      <c r="D694">
        <v>338.14999399999999</v>
      </c>
      <c r="E694">
        <v>339.39001500000001</v>
      </c>
      <c r="F694">
        <v>339.39001500000001</v>
      </c>
      <c r="G694">
        <v>16547100</v>
      </c>
      <c r="H694" s="2">
        <f t="shared" si="10"/>
        <v>-6.4771358239068544E-4</v>
      </c>
      <c r="I694" s="2">
        <f>VLOOKUP(A694,AAPL!A:H,8,)</f>
        <v>-9.3117831084257308E-3</v>
      </c>
    </row>
    <row r="695" spans="1:9" x14ac:dyDescent="0.35">
      <c r="A695" s="1">
        <v>44470</v>
      </c>
      <c r="B695">
        <v>341.60998499999999</v>
      </c>
      <c r="C695">
        <v>345.01998900000001</v>
      </c>
      <c r="D695">
        <v>338.64001500000001</v>
      </c>
      <c r="E695">
        <v>343.01001000000002</v>
      </c>
      <c r="F695">
        <v>343.01001000000002</v>
      </c>
      <c r="G695">
        <v>14905300</v>
      </c>
      <c r="H695" s="2">
        <f t="shared" si="10"/>
        <v>1.0666180028896965E-2</v>
      </c>
      <c r="I695" s="2">
        <f>VLOOKUP(A695,AAPL!A:H,8,)</f>
        <v>8.1271660777384458E-3</v>
      </c>
    </row>
    <row r="696" spans="1:9" x14ac:dyDescent="0.35">
      <c r="A696" s="1">
        <v>44473</v>
      </c>
      <c r="B696">
        <v>335.52999899999998</v>
      </c>
      <c r="C696">
        <v>335.94000199999999</v>
      </c>
      <c r="D696">
        <v>322.70001200000002</v>
      </c>
      <c r="E696">
        <v>326.23001099999999</v>
      </c>
      <c r="F696">
        <v>326.23001099999999</v>
      </c>
      <c r="G696">
        <v>42885000</v>
      </c>
      <c r="H696" s="2">
        <f t="shared" si="10"/>
        <v>-4.8919852222388593E-2</v>
      </c>
      <c r="I696" s="2">
        <f>VLOOKUP(A696,AAPL!A:H,8,)</f>
        <v>-2.4605644217552514E-2</v>
      </c>
    </row>
    <row r="697" spans="1:9" x14ac:dyDescent="0.35">
      <c r="A697" s="1">
        <v>44474</v>
      </c>
      <c r="B697">
        <v>328.57998700000002</v>
      </c>
      <c r="C697">
        <v>335.17999300000002</v>
      </c>
      <c r="D697">
        <v>326.16000400000001</v>
      </c>
      <c r="E697">
        <v>332.959991</v>
      </c>
      <c r="F697">
        <v>332.959991</v>
      </c>
      <c r="G697">
        <v>35377900</v>
      </c>
      <c r="H697" s="2">
        <f t="shared" si="10"/>
        <v>2.0629555139241917E-2</v>
      </c>
      <c r="I697" s="2">
        <f>VLOOKUP(A697,AAPL!A:H,8,)</f>
        <v>1.4158416085657821E-2</v>
      </c>
    </row>
    <row r="698" spans="1:9" x14ac:dyDescent="0.35">
      <c r="A698" s="1">
        <v>44475</v>
      </c>
      <c r="B698">
        <v>329.73998999999998</v>
      </c>
      <c r="C698">
        <v>334.38000499999998</v>
      </c>
      <c r="D698">
        <v>325.79998799999998</v>
      </c>
      <c r="E698">
        <v>333.64001500000001</v>
      </c>
      <c r="F698">
        <v>333.64001500000001</v>
      </c>
      <c r="G698">
        <v>26443000</v>
      </c>
      <c r="H698" s="2">
        <f t="shared" si="10"/>
        <v>2.0423594977811987E-3</v>
      </c>
      <c r="I698" s="2">
        <f>VLOOKUP(A698,AAPL!A:H,8,)</f>
        <v>6.3071291452969636E-3</v>
      </c>
    </row>
    <row r="699" spans="1:9" x14ac:dyDescent="0.35">
      <c r="A699" s="1">
        <v>44476</v>
      </c>
      <c r="B699">
        <v>337</v>
      </c>
      <c r="C699">
        <v>338.83999599999999</v>
      </c>
      <c r="D699">
        <v>328.98001099999999</v>
      </c>
      <c r="E699">
        <v>329.22000100000002</v>
      </c>
      <c r="F699">
        <v>329.22000100000002</v>
      </c>
      <c r="G699">
        <v>28307500</v>
      </c>
      <c r="H699" s="2">
        <f t="shared" si="10"/>
        <v>-1.3247853378738128E-2</v>
      </c>
      <c r="I699" s="2">
        <f>VLOOKUP(A699,AAPL!A:H,8,)</f>
        <v>9.0844577464790355E-3</v>
      </c>
    </row>
    <row r="700" spans="1:9" x14ac:dyDescent="0.35">
      <c r="A700" s="1">
        <v>44477</v>
      </c>
      <c r="B700">
        <v>331.51001000000002</v>
      </c>
      <c r="C700">
        <v>333.39999399999999</v>
      </c>
      <c r="D700">
        <v>328.709991</v>
      </c>
      <c r="E700">
        <v>330.04998799999998</v>
      </c>
      <c r="F700">
        <v>330.04998799999998</v>
      </c>
      <c r="G700">
        <v>15946100</v>
      </c>
      <c r="H700" s="2">
        <f t="shared" si="10"/>
        <v>2.5210710086838173E-3</v>
      </c>
      <c r="I700" s="2">
        <f>VLOOKUP(A700,AAPL!A:H,8,)</f>
        <v>-2.7217462422516325E-3</v>
      </c>
    </row>
    <row r="701" spans="1:9" x14ac:dyDescent="0.35">
      <c r="A701" s="1">
        <v>44480</v>
      </c>
      <c r="B701">
        <v>327.63000499999998</v>
      </c>
      <c r="C701">
        <v>330.459991</v>
      </c>
      <c r="D701">
        <v>325.30999800000001</v>
      </c>
      <c r="E701">
        <v>325.45001200000002</v>
      </c>
      <c r="F701">
        <v>325.45001200000002</v>
      </c>
      <c r="G701">
        <v>14708200</v>
      </c>
      <c r="H701" s="2">
        <f t="shared" si="10"/>
        <v>-1.3937210020440793E-2</v>
      </c>
      <c r="I701" s="2">
        <f>VLOOKUP(A701,AAPL!A:H,8,)</f>
        <v>-6.2978309152328382E-4</v>
      </c>
    </row>
    <row r="702" spans="1:9" x14ac:dyDescent="0.35">
      <c r="A702" s="1">
        <v>44481</v>
      </c>
      <c r="B702">
        <v>323.02999899999998</v>
      </c>
      <c r="C702">
        <v>324.38000499999998</v>
      </c>
      <c r="D702">
        <v>317.36999500000002</v>
      </c>
      <c r="E702">
        <v>323.76998900000001</v>
      </c>
      <c r="F702">
        <v>323.76998900000001</v>
      </c>
      <c r="G702">
        <v>31658700</v>
      </c>
      <c r="H702" s="2">
        <f t="shared" si="10"/>
        <v>-5.1621537503584447E-3</v>
      </c>
      <c r="I702" s="2">
        <f>VLOOKUP(A702,AAPL!A:H,8,)</f>
        <v>-9.1030251257339101E-3</v>
      </c>
    </row>
    <row r="703" spans="1:9" x14ac:dyDescent="0.35">
      <c r="A703" s="1">
        <v>44482</v>
      </c>
      <c r="B703">
        <v>326.97000100000002</v>
      </c>
      <c r="C703">
        <v>327</v>
      </c>
      <c r="D703">
        <v>322.66000400000001</v>
      </c>
      <c r="E703">
        <v>324.540009</v>
      </c>
      <c r="F703">
        <v>324.540009</v>
      </c>
      <c r="G703">
        <v>14761500</v>
      </c>
      <c r="H703" s="2">
        <f t="shared" si="10"/>
        <v>2.3782933136522466E-3</v>
      </c>
      <c r="I703" s="2">
        <f>VLOOKUP(A703,AAPL!A:H,8,)</f>
        <v>-4.2399195901322573E-3</v>
      </c>
    </row>
    <row r="704" spans="1:9" x14ac:dyDescent="0.35">
      <c r="A704" s="1">
        <v>44483</v>
      </c>
      <c r="B704">
        <v>328.35998499999999</v>
      </c>
      <c r="C704">
        <v>330.51998900000001</v>
      </c>
      <c r="D704">
        <v>327.10000600000001</v>
      </c>
      <c r="E704">
        <v>328.52999899999998</v>
      </c>
      <c r="F704">
        <v>328.52999899999998</v>
      </c>
      <c r="G704">
        <v>14302200</v>
      </c>
      <c r="H704" s="2">
        <f t="shared" si="10"/>
        <v>1.2294293120574729E-2</v>
      </c>
      <c r="I704" s="2">
        <f>VLOOKUP(A704,AAPL!A:H,8,)</f>
        <v>2.022561151868274E-2</v>
      </c>
    </row>
    <row r="705" spans="1:9" x14ac:dyDescent="0.35">
      <c r="A705" s="1">
        <v>44484</v>
      </c>
      <c r="B705">
        <v>328.67999300000002</v>
      </c>
      <c r="C705">
        <v>329.07000699999998</v>
      </c>
      <c r="D705">
        <v>322.51001000000002</v>
      </c>
      <c r="E705">
        <v>324.76001000000002</v>
      </c>
      <c r="F705">
        <v>324.76001000000002</v>
      </c>
      <c r="G705">
        <v>21596400</v>
      </c>
      <c r="H705" s="2">
        <f t="shared" si="10"/>
        <v>-1.1475326489134297E-2</v>
      </c>
      <c r="I705" s="2">
        <f>VLOOKUP(A705,AAPL!A:H,8,)</f>
        <v>7.5125280854386745E-3</v>
      </c>
    </row>
    <row r="706" spans="1:9" x14ac:dyDescent="0.35">
      <c r="A706" s="1">
        <v>44487</v>
      </c>
      <c r="B706">
        <v>328.95001200000002</v>
      </c>
      <c r="C706">
        <v>335.89001500000001</v>
      </c>
      <c r="D706">
        <v>327.5</v>
      </c>
      <c r="E706">
        <v>335.33999599999999</v>
      </c>
      <c r="F706">
        <v>335.33999599999999</v>
      </c>
      <c r="G706">
        <v>21585000</v>
      </c>
      <c r="H706" s="2">
        <f t="shared" si="10"/>
        <v>3.2577859570825707E-2</v>
      </c>
      <c r="I706" s="2">
        <f>VLOOKUP(A706,AAPL!A:H,8,)</f>
        <v>1.1806179558303764E-2</v>
      </c>
    </row>
    <row r="707" spans="1:9" x14ac:dyDescent="0.35">
      <c r="A707" s="1">
        <v>44488</v>
      </c>
      <c r="B707">
        <v>339.64999399999999</v>
      </c>
      <c r="C707">
        <v>342.459991</v>
      </c>
      <c r="D707">
        <v>337.27999899999998</v>
      </c>
      <c r="E707">
        <v>339.98998999999998</v>
      </c>
      <c r="F707">
        <v>339.98998999999998</v>
      </c>
      <c r="G707">
        <v>18786300</v>
      </c>
      <c r="H707" s="2">
        <f t="shared" si="10"/>
        <v>1.3866505801473084E-2</v>
      </c>
      <c r="I707" s="2">
        <f>VLOOKUP(A707,AAPL!A:H,8,)</f>
        <v>1.5080122516271777E-2</v>
      </c>
    </row>
    <row r="708" spans="1:9" x14ac:dyDescent="0.35">
      <c r="A708" s="1">
        <v>44489</v>
      </c>
      <c r="B708">
        <v>343.45001200000002</v>
      </c>
      <c r="C708">
        <v>343.98001099999999</v>
      </c>
      <c r="D708">
        <v>339.45001200000002</v>
      </c>
      <c r="E708">
        <v>340.77999899999998</v>
      </c>
      <c r="F708">
        <v>340.77999899999998</v>
      </c>
      <c r="G708">
        <v>13639500</v>
      </c>
      <c r="H708" s="2">
        <f t="shared" ref="H708:H771" si="11">E708/E707-1</f>
        <v>2.323624292585702E-3</v>
      </c>
      <c r="I708" s="2">
        <f>VLOOKUP(A708,AAPL!A:H,8,)</f>
        <v>3.3611186932347437E-3</v>
      </c>
    </row>
    <row r="709" spans="1:9" x14ac:dyDescent="0.35">
      <c r="A709" s="1">
        <v>44490</v>
      </c>
      <c r="B709">
        <v>340.27999899999998</v>
      </c>
      <c r="C709">
        <v>342.30999800000001</v>
      </c>
      <c r="D709">
        <v>337.79998799999998</v>
      </c>
      <c r="E709">
        <v>341.88000499999998</v>
      </c>
      <c r="F709">
        <v>341.88000499999998</v>
      </c>
      <c r="G709">
        <v>16354400</v>
      </c>
      <c r="H709" s="2">
        <f t="shared" si="11"/>
        <v>3.2279065767588655E-3</v>
      </c>
      <c r="I709" s="2">
        <f>VLOOKUP(A709,AAPL!A:H,8,)</f>
        <v>1.4739448436937863E-3</v>
      </c>
    </row>
    <row r="710" spans="1:9" x14ac:dyDescent="0.35">
      <c r="A710" s="1">
        <v>44491</v>
      </c>
      <c r="B710">
        <v>326.35000600000001</v>
      </c>
      <c r="C710">
        <v>329.63000499999998</v>
      </c>
      <c r="D710">
        <v>321.10998499999999</v>
      </c>
      <c r="E710">
        <v>324.60998499999999</v>
      </c>
      <c r="F710">
        <v>324.60998499999999</v>
      </c>
      <c r="G710">
        <v>35224500</v>
      </c>
      <c r="H710" s="2">
        <f t="shared" si="11"/>
        <v>-5.0514858276078489E-2</v>
      </c>
      <c r="I710" s="2">
        <f>VLOOKUP(A710,AAPL!A:H,8,)</f>
        <v>-5.2849479605284744E-3</v>
      </c>
    </row>
    <row r="711" spans="1:9" x14ac:dyDescent="0.35">
      <c r="A711" s="1">
        <v>44494</v>
      </c>
      <c r="B711">
        <v>320.29998799999998</v>
      </c>
      <c r="C711">
        <v>329.55999800000001</v>
      </c>
      <c r="D711">
        <v>319.72000100000002</v>
      </c>
      <c r="E711">
        <v>328.69000199999999</v>
      </c>
      <c r="F711">
        <v>328.69000199999999</v>
      </c>
      <c r="G711">
        <v>38409000</v>
      </c>
      <c r="H711" s="2">
        <f t="shared" si="11"/>
        <v>1.2568981819829128E-2</v>
      </c>
      <c r="I711" s="2">
        <f>VLOOKUP(A711,AAPL!A:H,8,)</f>
        <v>-3.3629026382020477E-4</v>
      </c>
    </row>
    <row r="712" spans="1:9" x14ac:dyDescent="0.35">
      <c r="A712" s="1">
        <v>44495</v>
      </c>
      <c r="B712">
        <v>328.26001000000002</v>
      </c>
      <c r="C712">
        <v>330.209991</v>
      </c>
      <c r="D712">
        <v>309.60000600000001</v>
      </c>
      <c r="E712">
        <v>315.80999800000001</v>
      </c>
      <c r="F712">
        <v>315.80999800000001</v>
      </c>
      <c r="G712">
        <v>65654000</v>
      </c>
      <c r="H712" s="2">
        <f t="shared" si="11"/>
        <v>-3.9185870947178958E-2</v>
      </c>
      <c r="I712" s="2">
        <f>VLOOKUP(A712,AAPL!A:H,8,)</f>
        <v>4.5748654774950825E-3</v>
      </c>
    </row>
    <row r="713" spans="1:9" x14ac:dyDescent="0.35">
      <c r="A713" s="1">
        <v>44496</v>
      </c>
      <c r="B713">
        <v>314.19000199999999</v>
      </c>
      <c r="C713">
        <v>319.25</v>
      </c>
      <c r="D713">
        <v>312.05999800000001</v>
      </c>
      <c r="E713">
        <v>312.22000100000002</v>
      </c>
      <c r="F713">
        <v>312.22000100000002</v>
      </c>
      <c r="G713">
        <v>29971800</v>
      </c>
      <c r="H713" s="2">
        <f t="shared" si="11"/>
        <v>-1.1367585012302173E-2</v>
      </c>
      <c r="I713" s="2">
        <f>VLOOKUP(A713,AAPL!A:H,8,)</f>
        <v>-3.147609013974928E-3</v>
      </c>
    </row>
    <row r="714" spans="1:9" x14ac:dyDescent="0.35">
      <c r="A714" s="1">
        <v>44497</v>
      </c>
      <c r="B714">
        <v>312.98998999999998</v>
      </c>
      <c r="C714">
        <v>325.51998900000001</v>
      </c>
      <c r="D714">
        <v>308.10998499999999</v>
      </c>
      <c r="E714">
        <v>316.92001299999998</v>
      </c>
      <c r="F714">
        <v>316.92001299999998</v>
      </c>
      <c r="G714">
        <v>50806800</v>
      </c>
      <c r="H714" s="2">
        <f t="shared" si="11"/>
        <v>1.5053526311403553E-2</v>
      </c>
      <c r="I714" s="2">
        <f>VLOOKUP(A714,AAPL!A:H,8,)</f>
        <v>2.4991607994963694E-2</v>
      </c>
    </row>
    <row r="715" spans="1:9" x14ac:dyDescent="0.35">
      <c r="A715" s="1">
        <v>44498</v>
      </c>
      <c r="B715">
        <v>320.19000199999999</v>
      </c>
      <c r="C715">
        <v>326</v>
      </c>
      <c r="D715">
        <v>319.60000600000001</v>
      </c>
      <c r="E715">
        <v>323.57000699999998</v>
      </c>
      <c r="F715">
        <v>323.57000699999998</v>
      </c>
      <c r="G715">
        <v>37059400</v>
      </c>
      <c r="H715" s="2">
        <f t="shared" si="11"/>
        <v>2.0983193636307185E-2</v>
      </c>
      <c r="I715" s="2">
        <f>VLOOKUP(A715,AAPL!A:H,8,)</f>
        <v>-1.8155626092355104E-2</v>
      </c>
    </row>
    <row r="716" spans="1:9" x14ac:dyDescent="0.35">
      <c r="A716" s="1">
        <v>44501</v>
      </c>
      <c r="B716">
        <v>326.040009</v>
      </c>
      <c r="C716">
        <v>333.45001200000002</v>
      </c>
      <c r="D716">
        <v>326</v>
      </c>
      <c r="E716">
        <v>329.98001099999999</v>
      </c>
      <c r="F716">
        <v>329.98001099999999</v>
      </c>
      <c r="G716">
        <v>31518900</v>
      </c>
      <c r="H716" s="2">
        <f t="shared" si="11"/>
        <v>1.9810253921340726E-2</v>
      </c>
      <c r="I716" s="2">
        <f>VLOOKUP(A716,AAPL!A:H,8,)</f>
        <v>-5.6074498209457424E-3</v>
      </c>
    </row>
    <row r="717" spans="1:9" x14ac:dyDescent="0.35">
      <c r="A717" s="1">
        <v>44502</v>
      </c>
      <c r="B717">
        <v>331.38000499999998</v>
      </c>
      <c r="C717">
        <v>334.790009</v>
      </c>
      <c r="D717">
        <v>323.79998799999998</v>
      </c>
      <c r="E717">
        <v>328.07998700000002</v>
      </c>
      <c r="F717">
        <v>328.07998700000002</v>
      </c>
      <c r="G717">
        <v>28353000</v>
      </c>
      <c r="H717" s="2">
        <f t="shared" si="11"/>
        <v>-5.7579972624461906E-3</v>
      </c>
      <c r="I717" s="2">
        <f>VLOOKUP(A717,AAPL!A:H,8,)</f>
        <v>7.1159838224228444E-3</v>
      </c>
    </row>
    <row r="718" spans="1:9" x14ac:dyDescent="0.35">
      <c r="A718" s="1">
        <v>44503</v>
      </c>
      <c r="B718">
        <v>327.48998999999998</v>
      </c>
      <c r="C718">
        <v>332.14999399999999</v>
      </c>
      <c r="D718">
        <v>323.20001200000002</v>
      </c>
      <c r="E718">
        <v>331.61999500000002</v>
      </c>
      <c r="F718">
        <v>331.61999500000002</v>
      </c>
      <c r="G718">
        <v>20786500</v>
      </c>
      <c r="H718" s="2">
        <f t="shared" si="11"/>
        <v>1.0790076018870387E-2</v>
      </c>
      <c r="I718" s="2">
        <f>VLOOKUP(A718,AAPL!A:H,8,)</f>
        <v>9.7986999120462936E-3</v>
      </c>
    </row>
    <row r="719" spans="1:9" x14ac:dyDescent="0.35">
      <c r="A719" s="1">
        <v>44504</v>
      </c>
      <c r="B719">
        <v>334.01001000000002</v>
      </c>
      <c r="C719">
        <v>337.26998900000001</v>
      </c>
      <c r="D719">
        <v>332.64999399999999</v>
      </c>
      <c r="E719">
        <v>335.85000600000001</v>
      </c>
      <c r="F719">
        <v>335.85000600000001</v>
      </c>
      <c r="G719">
        <v>22495300</v>
      </c>
      <c r="H719" s="2">
        <f t="shared" si="11"/>
        <v>1.275559695970685E-2</v>
      </c>
      <c r="I719" s="2">
        <f>VLOOKUP(A719,AAPL!A:H,8,)</f>
        <v>-3.4985674467434835E-3</v>
      </c>
    </row>
    <row r="720" spans="1:9" x14ac:dyDescent="0.35">
      <c r="A720" s="1">
        <v>44505</v>
      </c>
      <c r="B720">
        <v>340.30999800000001</v>
      </c>
      <c r="C720">
        <v>346.790009</v>
      </c>
      <c r="D720">
        <v>339.64001500000001</v>
      </c>
      <c r="E720">
        <v>341.13000499999998</v>
      </c>
      <c r="F720">
        <v>341.13000499999998</v>
      </c>
      <c r="G720">
        <v>26872800</v>
      </c>
      <c r="H720" s="2">
        <f t="shared" si="11"/>
        <v>1.5721300895257251E-2</v>
      </c>
      <c r="I720" s="2">
        <f>VLOOKUP(A720,AAPL!A:H,8,)</f>
        <v>2.1197137331876448E-3</v>
      </c>
    </row>
    <row r="721" spans="1:9" x14ac:dyDescent="0.35">
      <c r="A721" s="1">
        <v>44508</v>
      </c>
      <c r="B721">
        <v>344.42001299999998</v>
      </c>
      <c r="C721">
        <v>344.790009</v>
      </c>
      <c r="D721">
        <v>338.33999599999999</v>
      </c>
      <c r="E721">
        <v>338.61999500000002</v>
      </c>
      <c r="F721">
        <v>338.61999500000002</v>
      </c>
      <c r="G721">
        <v>18342500</v>
      </c>
      <c r="H721" s="2">
        <f t="shared" si="11"/>
        <v>-7.3579279547689724E-3</v>
      </c>
      <c r="I721" s="2">
        <f>VLOOKUP(A721,AAPL!A:H,8,)</f>
        <v>-5.552597868539233E-3</v>
      </c>
    </row>
    <row r="722" spans="1:9" x14ac:dyDescent="0.35">
      <c r="A722" s="1">
        <v>44509</v>
      </c>
      <c r="B722">
        <v>340</v>
      </c>
      <c r="C722">
        <v>341.30999800000001</v>
      </c>
      <c r="D722">
        <v>334.47000100000002</v>
      </c>
      <c r="E722">
        <v>335.36999500000002</v>
      </c>
      <c r="F722">
        <v>335.36999500000002</v>
      </c>
      <c r="G722">
        <v>17556700</v>
      </c>
      <c r="H722" s="2">
        <f t="shared" si="11"/>
        <v>-9.5977793632653352E-3</v>
      </c>
      <c r="I722" s="2">
        <f>VLOOKUP(A722,AAPL!A:H,8,)</f>
        <v>2.4594256519621105E-3</v>
      </c>
    </row>
    <row r="723" spans="1:9" x14ac:dyDescent="0.35">
      <c r="A723" s="1">
        <v>44510</v>
      </c>
      <c r="B723">
        <v>332.48998999999998</v>
      </c>
      <c r="C723">
        <v>333.19000199999999</v>
      </c>
      <c r="D723">
        <v>325.51001000000002</v>
      </c>
      <c r="E723">
        <v>327.64001500000001</v>
      </c>
      <c r="F723">
        <v>327.64001500000001</v>
      </c>
      <c r="G723">
        <v>21872600</v>
      </c>
      <c r="H723" s="2">
        <f t="shared" si="11"/>
        <v>-2.3049110281914142E-2</v>
      </c>
      <c r="I723" s="2">
        <f>VLOOKUP(A723,AAPL!A:H,8,)</f>
        <v>-1.9163185719291764E-2</v>
      </c>
    </row>
    <row r="724" spans="1:9" x14ac:dyDescent="0.35">
      <c r="A724" s="1">
        <v>44511</v>
      </c>
      <c r="B724">
        <v>329.82000699999998</v>
      </c>
      <c r="C724">
        <v>332.459991</v>
      </c>
      <c r="D724">
        <v>327</v>
      </c>
      <c r="E724">
        <v>327.73998999999998</v>
      </c>
      <c r="F724">
        <v>327.73998999999998</v>
      </c>
      <c r="G724">
        <v>12376600</v>
      </c>
      <c r="H724" s="2">
        <f t="shared" si="11"/>
        <v>3.051367214714773E-4</v>
      </c>
      <c r="I724" s="2">
        <f>VLOOKUP(A724,AAPL!A:H,8,)</f>
        <v>-3.380408374532573E-4</v>
      </c>
    </row>
    <row r="725" spans="1:9" x14ac:dyDescent="0.35">
      <c r="A725" s="1">
        <v>44512</v>
      </c>
      <c r="B725">
        <v>330.17999300000002</v>
      </c>
      <c r="C725">
        <v>341.85998499999999</v>
      </c>
      <c r="D725">
        <v>329.77999899999998</v>
      </c>
      <c r="E725">
        <v>340.89001500000001</v>
      </c>
      <c r="F725">
        <v>340.89001500000001</v>
      </c>
      <c r="G725">
        <v>25414300</v>
      </c>
      <c r="H725" s="2">
        <f t="shared" si="11"/>
        <v>4.0123345948720024E-2</v>
      </c>
      <c r="I725" s="2">
        <f>VLOOKUP(A725,AAPL!A:H,8,)</f>
        <v>1.4336985674477054E-2</v>
      </c>
    </row>
    <row r="726" spans="1:9" x14ac:dyDescent="0.35">
      <c r="A726" s="1">
        <v>44515</v>
      </c>
      <c r="B726">
        <v>344.33999599999999</v>
      </c>
      <c r="C726">
        <v>353.64999399999999</v>
      </c>
      <c r="D726">
        <v>343.20001200000002</v>
      </c>
      <c r="E726">
        <v>347.55999800000001</v>
      </c>
      <c r="F726">
        <v>347.55999800000001</v>
      </c>
      <c r="G726">
        <v>25076600</v>
      </c>
      <c r="H726" s="2">
        <f t="shared" si="11"/>
        <v>1.9566378322932065E-2</v>
      </c>
      <c r="I726" s="2">
        <f>VLOOKUP(A726,AAPL!A:H,8,)</f>
        <v>6.6637773630251473E-5</v>
      </c>
    </row>
    <row r="727" spans="1:9" x14ac:dyDescent="0.35">
      <c r="A727" s="1">
        <v>44516</v>
      </c>
      <c r="B727">
        <v>343.82998700000002</v>
      </c>
      <c r="C727">
        <v>346.64999399999999</v>
      </c>
      <c r="D727">
        <v>340.86999500000002</v>
      </c>
      <c r="E727">
        <v>342.959991</v>
      </c>
      <c r="F727">
        <v>342.959991</v>
      </c>
      <c r="G727">
        <v>18181100</v>
      </c>
      <c r="H727" s="2">
        <f t="shared" si="11"/>
        <v>-1.323514508709378E-2</v>
      </c>
      <c r="I727" s="2">
        <f>VLOOKUP(A727,AAPL!A:H,8,)</f>
        <v>6.6666666666665986E-3</v>
      </c>
    </row>
    <row r="728" spans="1:9" x14ac:dyDescent="0.35">
      <c r="A728" s="1">
        <v>44517</v>
      </c>
      <c r="B728">
        <v>344.23998999999998</v>
      </c>
      <c r="C728">
        <v>347.29998799999998</v>
      </c>
      <c r="D728">
        <v>340.10000600000001</v>
      </c>
      <c r="E728">
        <v>340.76998900000001</v>
      </c>
      <c r="F728">
        <v>340.76998900000001</v>
      </c>
      <c r="G728">
        <v>13602800</v>
      </c>
      <c r="H728" s="2">
        <f t="shared" si="11"/>
        <v>-6.3855903238578815E-3</v>
      </c>
      <c r="I728" s="2">
        <f>VLOOKUP(A728,AAPL!A:H,8,)</f>
        <v>1.6490099337748365E-2</v>
      </c>
    </row>
    <row r="729" spans="1:9" x14ac:dyDescent="0.35">
      <c r="A729" s="1">
        <v>44518</v>
      </c>
      <c r="B729">
        <v>339.72000100000002</v>
      </c>
      <c r="C729">
        <v>342.459991</v>
      </c>
      <c r="D729">
        <v>335.29998799999998</v>
      </c>
      <c r="E729">
        <v>338.69000199999999</v>
      </c>
      <c r="F729">
        <v>338.69000199999999</v>
      </c>
      <c r="G729">
        <v>17487200</v>
      </c>
      <c r="H729" s="2">
        <f t="shared" si="11"/>
        <v>-6.1037857415313646E-3</v>
      </c>
      <c r="I729" s="2">
        <f>VLOOKUP(A729,AAPL!A:H,8,)</f>
        <v>2.8535994900775519E-2</v>
      </c>
    </row>
    <row r="730" spans="1:9" x14ac:dyDescent="0.35">
      <c r="A730" s="1">
        <v>44519</v>
      </c>
      <c r="B730">
        <v>342.20001200000002</v>
      </c>
      <c r="C730">
        <v>352.10000600000001</v>
      </c>
      <c r="D730">
        <v>339.89999399999999</v>
      </c>
      <c r="E730">
        <v>345.29998799999998</v>
      </c>
      <c r="F730">
        <v>345.29998799999998</v>
      </c>
      <c r="G730">
        <v>26488500</v>
      </c>
      <c r="H730" s="2">
        <f t="shared" si="11"/>
        <v>1.9516330452529873E-2</v>
      </c>
      <c r="I730" s="2">
        <f>VLOOKUP(A730,AAPL!A:H,8,)</f>
        <v>1.6976044117819944E-2</v>
      </c>
    </row>
    <row r="731" spans="1:9" x14ac:dyDescent="0.35">
      <c r="A731" s="1">
        <v>44522</v>
      </c>
      <c r="B731">
        <v>349.04998799999998</v>
      </c>
      <c r="C731">
        <v>353.82998700000002</v>
      </c>
      <c r="D731">
        <v>340.51001000000002</v>
      </c>
      <c r="E731">
        <v>341.01001000000002</v>
      </c>
      <c r="F731">
        <v>341.01001000000002</v>
      </c>
      <c r="G731">
        <v>27116800</v>
      </c>
      <c r="H731" s="2">
        <f t="shared" si="11"/>
        <v>-1.2423915867613489E-2</v>
      </c>
      <c r="I731" s="2">
        <f>VLOOKUP(A731,AAPL!A:H,8,)</f>
        <v>2.9274431094217235E-3</v>
      </c>
    </row>
    <row r="732" spans="1:9" x14ac:dyDescent="0.35">
      <c r="A732" s="1">
        <v>44523</v>
      </c>
      <c r="B732">
        <v>338.92999300000002</v>
      </c>
      <c r="C732">
        <v>341.39999399999999</v>
      </c>
      <c r="D732">
        <v>333.5</v>
      </c>
      <c r="E732">
        <v>337.25</v>
      </c>
      <c r="F732">
        <v>337.25</v>
      </c>
      <c r="G732">
        <v>17225000</v>
      </c>
      <c r="H732" s="2">
        <f t="shared" si="11"/>
        <v>-1.10260986180436E-2</v>
      </c>
      <c r="I732" s="2">
        <f>VLOOKUP(A732,AAPL!A:H,8,)</f>
        <v>2.4220593113386535E-3</v>
      </c>
    </row>
    <row r="733" spans="1:9" x14ac:dyDescent="0.35">
      <c r="A733" s="1">
        <v>44524</v>
      </c>
      <c r="B733">
        <v>336</v>
      </c>
      <c r="C733">
        <v>341.77999899999998</v>
      </c>
      <c r="D733">
        <v>332.80999800000001</v>
      </c>
      <c r="E733">
        <v>341.05999800000001</v>
      </c>
      <c r="F733">
        <v>341.05999800000001</v>
      </c>
      <c r="G733">
        <v>13566200</v>
      </c>
      <c r="H733" s="2">
        <f t="shared" si="11"/>
        <v>1.1297251297257338E-2</v>
      </c>
      <c r="I733" s="2">
        <f>VLOOKUP(A733,AAPL!A:H,8,)</f>
        <v>3.2835511236342096E-3</v>
      </c>
    </row>
    <row r="734" spans="1:9" x14ac:dyDescent="0.35">
      <c r="A734" s="1">
        <v>44526</v>
      </c>
      <c r="B734">
        <v>335.79998799999998</v>
      </c>
      <c r="C734">
        <v>337.75</v>
      </c>
      <c r="D734">
        <v>331.89999399999999</v>
      </c>
      <c r="E734">
        <v>333.11999500000002</v>
      </c>
      <c r="F734">
        <v>333.11999500000002</v>
      </c>
      <c r="G734">
        <v>14750700</v>
      </c>
      <c r="H734" s="2">
        <f t="shared" si="11"/>
        <v>-2.3280370159387553E-2</v>
      </c>
      <c r="I734" s="2">
        <f>VLOOKUP(A734,AAPL!A:H,8,)</f>
        <v>-3.1678423716457571E-2</v>
      </c>
    </row>
    <row r="735" spans="1:9" x14ac:dyDescent="0.35">
      <c r="A735" s="1">
        <v>44529</v>
      </c>
      <c r="B735">
        <v>336.89001500000001</v>
      </c>
      <c r="C735">
        <v>340.67001299999998</v>
      </c>
      <c r="D735">
        <v>335.30999800000001</v>
      </c>
      <c r="E735">
        <v>338.02999899999998</v>
      </c>
      <c r="F735">
        <v>338.02999899999998</v>
      </c>
      <c r="G735">
        <v>16650900</v>
      </c>
      <c r="H735" s="2">
        <f t="shared" si="11"/>
        <v>1.4739445466189993E-2</v>
      </c>
      <c r="I735" s="2">
        <f>VLOOKUP(A735,AAPL!A:H,8,)</f>
        <v>2.1873649918674021E-2</v>
      </c>
    </row>
    <row r="736" spans="1:9" x14ac:dyDescent="0.35">
      <c r="A736" s="1">
        <v>44530</v>
      </c>
      <c r="B736">
        <v>335</v>
      </c>
      <c r="C736">
        <v>335.80999800000001</v>
      </c>
      <c r="D736">
        <v>323.42999300000002</v>
      </c>
      <c r="E736">
        <v>324.459991</v>
      </c>
      <c r="F736">
        <v>324.459991</v>
      </c>
      <c r="G736">
        <v>25390000</v>
      </c>
      <c r="H736" s="2">
        <f t="shared" si="11"/>
        <v>-4.0144389669983016E-2</v>
      </c>
      <c r="I736" s="2">
        <f>VLOOKUP(A736,AAPL!A:H,8,)</f>
        <v>3.1577620083074853E-2</v>
      </c>
    </row>
    <row r="737" spans="1:9" x14ac:dyDescent="0.35">
      <c r="A737" s="1">
        <v>44531</v>
      </c>
      <c r="B737">
        <v>330.290009</v>
      </c>
      <c r="C737">
        <v>330.5</v>
      </c>
      <c r="D737">
        <v>310.290009</v>
      </c>
      <c r="E737">
        <v>310.60000600000001</v>
      </c>
      <c r="F737">
        <v>310.60000600000001</v>
      </c>
      <c r="G737">
        <v>30329600</v>
      </c>
      <c r="H737" s="2">
        <f t="shared" si="11"/>
        <v>-4.2717084954859597E-2</v>
      </c>
      <c r="I737" s="2">
        <f>VLOOKUP(A737,AAPL!A:H,8,)</f>
        <v>-3.2062854832495269E-3</v>
      </c>
    </row>
    <row r="738" spans="1:9" x14ac:dyDescent="0.35">
      <c r="A738" s="1">
        <v>44532</v>
      </c>
      <c r="B738">
        <v>311.39999399999999</v>
      </c>
      <c r="C738">
        <v>314.60000600000001</v>
      </c>
      <c r="D738">
        <v>307.20001200000002</v>
      </c>
      <c r="E738">
        <v>310.39001500000001</v>
      </c>
      <c r="F738">
        <v>310.39001500000001</v>
      </c>
      <c r="G738">
        <v>24396200</v>
      </c>
      <c r="H738" s="2">
        <f t="shared" si="11"/>
        <v>-6.7608176414524213E-4</v>
      </c>
      <c r="I738" s="2">
        <f>VLOOKUP(A738,AAPL!A:H,8,)</f>
        <v>-6.129811103239402E-3</v>
      </c>
    </row>
    <row r="739" spans="1:9" x14ac:dyDescent="0.35">
      <c r="A739" s="1">
        <v>44533</v>
      </c>
      <c r="B739">
        <v>313.73001099999999</v>
      </c>
      <c r="C739">
        <v>313.75</v>
      </c>
      <c r="D739">
        <v>299.5</v>
      </c>
      <c r="E739">
        <v>306.83999599999999</v>
      </c>
      <c r="F739">
        <v>306.83999599999999</v>
      </c>
      <c r="G739">
        <v>27471000</v>
      </c>
      <c r="H739" s="2">
        <f t="shared" si="11"/>
        <v>-1.1437284797966241E-2</v>
      </c>
      <c r="I739" s="2">
        <f>VLOOKUP(A739,AAPL!A:H,8,)</f>
        <v>-1.1724469092710854E-2</v>
      </c>
    </row>
    <row r="740" spans="1:9" x14ac:dyDescent="0.35">
      <c r="A740" s="1">
        <v>44536</v>
      </c>
      <c r="B740">
        <v>308.13000499999998</v>
      </c>
      <c r="C740">
        <v>320.10000600000001</v>
      </c>
      <c r="D740">
        <v>306.33999599999999</v>
      </c>
      <c r="E740">
        <v>317.86999500000002</v>
      </c>
      <c r="F740">
        <v>317.86999500000002</v>
      </c>
      <c r="G740">
        <v>21758300</v>
      </c>
      <c r="H740" s="2">
        <f t="shared" si="11"/>
        <v>3.5947070602881936E-2</v>
      </c>
      <c r="I740" s="2">
        <f>VLOOKUP(A740,AAPL!A:H,8,)</f>
        <v>2.1502787234374265E-2</v>
      </c>
    </row>
    <row r="741" spans="1:9" x14ac:dyDescent="0.35">
      <c r="A741" s="1">
        <v>44537</v>
      </c>
      <c r="B741">
        <v>321.57000699999998</v>
      </c>
      <c r="C741">
        <v>326.540009</v>
      </c>
      <c r="D741">
        <v>321</v>
      </c>
      <c r="E741">
        <v>322.80999800000001</v>
      </c>
      <c r="F741">
        <v>322.80999800000001</v>
      </c>
      <c r="G741">
        <v>18794000</v>
      </c>
      <c r="H741" s="2">
        <f t="shared" si="11"/>
        <v>1.5540954093512305E-2</v>
      </c>
      <c r="I741" s="2">
        <f>VLOOKUP(A741,AAPL!A:H,8,)</f>
        <v>3.544632078318255E-2</v>
      </c>
    </row>
    <row r="742" spans="1:9" x14ac:dyDescent="0.35">
      <c r="A742" s="1">
        <v>44538</v>
      </c>
      <c r="B742">
        <v>325</v>
      </c>
      <c r="C742">
        <v>332.75</v>
      </c>
      <c r="D742">
        <v>323.07000699999998</v>
      </c>
      <c r="E742">
        <v>330.55999800000001</v>
      </c>
      <c r="F742">
        <v>330.55999800000001</v>
      </c>
      <c r="G742">
        <v>19937700</v>
      </c>
      <c r="H742" s="2">
        <f t="shared" si="11"/>
        <v>2.4007930510256292E-2</v>
      </c>
      <c r="I742" s="2">
        <f>VLOOKUP(A742,AAPL!A:H,8,)</f>
        <v>2.2783088909227978E-2</v>
      </c>
    </row>
    <row r="743" spans="1:9" x14ac:dyDescent="0.35">
      <c r="A743" s="1">
        <v>44539</v>
      </c>
      <c r="B743">
        <v>329.540009</v>
      </c>
      <c r="C743">
        <v>336.13000499999998</v>
      </c>
      <c r="D743">
        <v>328</v>
      </c>
      <c r="E743">
        <v>329.82000699999998</v>
      </c>
      <c r="F743">
        <v>329.82000699999998</v>
      </c>
      <c r="G743">
        <v>16879200</v>
      </c>
      <c r="H743" s="2">
        <f t="shared" si="11"/>
        <v>-2.2385981500400165E-3</v>
      </c>
      <c r="I743" s="2">
        <f>VLOOKUP(A743,AAPL!A:H,8,)</f>
        <v>-2.9700936375360865E-3</v>
      </c>
    </row>
    <row r="744" spans="1:9" x14ac:dyDescent="0.35">
      <c r="A744" s="1">
        <v>44540</v>
      </c>
      <c r="B744">
        <v>332.55999800000001</v>
      </c>
      <c r="C744">
        <v>335.02999899999998</v>
      </c>
      <c r="D744">
        <v>326.36999500000002</v>
      </c>
      <c r="E744">
        <v>329.75</v>
      </c>
      <c r="F744">
        <v>329.75</v>
      </c>
      <c r="G744">
        <v>14528000</v>
      </c>
      <c r="H744" s="2">
        <f t="shared" si="11"/>
        <v>-2.122581969382642E-4</v>
      </c>
      <c r="I744" s="2">
        <f>VLOOKUP(A744,AAPL!A:H,8,)</f>
        <v>2.8013285151389455E-2</v>
      </c>
    </row>
    <row r="745" spans="1:9" x14ac:dyDescent="0.35">
      <c r="A745" s="1">
        <v>44543</v>
      </c>
      <c r="B745">
        <v>330.95001200000002</v>
      </c>
      <c r="C745">
        <v>341.08999599999999</v>
      </c>
      <c r="D745">
        <v>329.58999599999999</v>
      </c>
      <c r="E745">
        <v>334.48998999999998</v>
      </c>
      <c r="F745">
        <v>334.48998999999998</v>
      </c>
      <c r="G745">
        <v>22948700</v>
      </c>
      <c r="H745" s="2">
        <f t="shared" si="11"/>
        <v>1.4374495830174361E-2</v>
      </c>
      <c r="I745" s="2">
        <f>VLOOKUP(A745,AAPL!A:H,8,)</f>
        <v>-2.0674238294916214E-2</v>
      </c>
    </row>
    <row r="746" spans="1:9" x14ac:dyDescent="0.35">
      <c r="A746" s="1">
        <v>44544</v>
      </c>
      <c r="B746">
        <v>328.04998799999998</v>
      </c>
      <c r="C746">
        <v>335.70001200000002</v>
      </c>
      <c r="D746">
        <v>327.64999399999999</v>
      </c>
      <c r="E746">
        <v>333.73998999999998</v>
      </c>
      <c r="F746">
        <v>333.73998999999998</v>
      </c>
      <c r="G746">
        <v>20461000</v>
      </c>
      <c r="H746" s="2">
        <f t="shared" si="11"/>
        <v>-2.2422195653747368E-3</v>
      </c>
      <c r="I746" s="2">
        <f>VLOOKUP(A746,AAPL!A:H,8,)</f>
        <v>-8.0232329571174876E-3</v>
      </c>
    </row>
    <row r="747" spans="1:9" x14ac:dyDescent="0.35">
      <c r="A747" s="1">
        <v>44545</v>
      </c>
      <c r="B747">
        <v>332.48998999999998</v>
      </c>
      <c r="C747">
        <v>342.10998499999999</v>
      </c>
      <c r="D747">
        <v>323.98001099999999</v>
      </c>
      <c r="E747">
        <v>341.66000400000001</v>
      </c>
      <c r="F747">
        <v>341.66000400000001</v>
      </c>
      <c r="G747">
        <v>24681300</v>
      </c>
      <c r="H747" s="2">
        <f t="shared" si="11"/>
        <v>2.3731090781179853E-2</v>
      </c>
      <c r="I747" s="2">
        <f>VLOOKUP(A747,AAPL!A:H,8,)</f>
        <v>2.8509154723694641E-2</v>
      </c>
    </row>
    <row r="748" spans="1:9" x14ac:dyDescent="0.35">
      <c r="A748" s="1">
        <v>44546</v>
      </c>
      <c r="B748">
        <v>338.98001099999999</v>
      </c>
      <c r="C748">
        <v>344.459991</v>
      </c>
      <c r="D748">
        <v>333.73998999999998</v>
      </c>
      <c r="E748">
        <v>334.89999399999999</v>
      </c>
      <c r="F748">
        <v>334.89999399999999</v>
      </c>
      <c r="G748">
        <v>22635000</v>
      </c>
      <c r="H748" s="2">
        <f t="shared" si="11"/>
        <v>-1.9785780954331478E-2</v>
      </c>
      <c r="I748" s="2">
        <f>VLOOKUP(A748,AAPL!A:H,8,)</f>
        <v>-3.9263847641988092E-2</v>
      </c>
    </row>
    <row r="749" spans="1:9" x14ac:dyDescent="0.35">
      <c r="A749" s="1">
        <v>44547</v>
      </c>
      <c r="B749">
        <v>332.79998799999998</v>
      </c>
      <c r="C749">
        <v>337.10998499999999</v>
      </c>
      <c r="D749">
        <v>330.75</v>
      </c>
      <c r="E749">
        <v>333.790009</v>
      </c>
      <c r="F749">
        <v>333.790009</v>
      </c>
      <c r="G749">
        <v>40012600</v>
      </c>
      <c r="H749" s="2">
        <f t="shared" si="11"/>
        <v>-3.3143774854770269E-3</v>
      </c>
      <c r="I749" s="2">
        <f>VLOOKUP(A749,AAPL!A:H,8,)</f>
        <v>-6.5017765732549027E-3</v>
      </c>
    </row>
    <row r="750" spans="1:9" x14ac:dyDescent="0.35">
      <c r="A750" s="1">
        <v>44550</v>
      </c>
      <c r="B750">
        <v>329.77999899999998</v>
      </c>
      <c r="C750">
        <v>329.89999399999999</v>
      </c>
      <c r="D750">
        <v>322.52999899999998</v>
      </c>
      <c r="E750">
        <v>325.45001200000002</v>
      </c>
      <c r="F750">
        <v>325.45001200000002</v>
      </c>
      <c r="G750">
        <v>17901800</v>
      </c>
      <c r="H750" s="2">
        <f t="shared" si="11"/>
        <v>-2.4985759834411314E-2</v>
      </c>
      <c r="I750" s="2">
        <f>VLOOKUP(A750,AAPL!A:H,8,)</f>
        <v>-8.1219995800045908E-3</v>
      </c>
    </row>
    <row r="751" spans="1:9" x14ac:dyDescent="0.35">
      <c r="A751" s="1">
        <v>44551</v>
      </c>
      <c r="B751">
        <v>326.41000400000001</v>
      </c>
      <c r="C751">
        <v>336</v>
      </c>
      <c r="D751">
        <v>323.75</v>
      </c>
      <c r="E751">
        <v>334.20001200000002</v>
      </c>
      <c r="F751">
        <v>334.20001200000002</v>
      </c>
      <c r="G751">
        <v>16116800</v>
      </c>
      <c r="H751" s="2">
        <f t="shared" si="11"/>
        <v>2.6885849369702841E-2</v>
      </c>
      <c r="I751" s="2">
        <f>VLOOKUP(A751,AAPL!A:H,8,)</f>
        <v>1.9086921944035273E-2</v>
      </c>
    </row>
    <row r="752" spans="1:9" x14ac:dyDescent="0.35">
      <c r="A752" s="1">
        <v>44552</v>
      </c>
      <c r="B752">
        <v>333.79998799999998</v>
      </c>
      <c r="C752">
        <v>334.51001000000002</v>
      </c>
      <c r="D752">
        <v>328.26001000000002</v>
      </c>
      <c r="E752">
        <v>330.45001200000002</v>
      </c>
      <c r="F752">
        <v>330.45001200000002</v>
      </c>
      <c r="G752">
        <v>16764600</v>
      </c>
      <c r="H752" s="2">
        <f t="shared" si="11"/>
        <v>-1.1220825449880567E-2</v>
      </c>
      <c r="I752" s="2">
        <f>VLOOKUP(A752,AAPL!A:H,8,)</f>
        <v>1.5318769428326107E-2</v>
      </c>
    </row>
    <row r="753" spans="1:9" x14ac:dyDescent="0.35">
      <c r="A753" s="1">
        <v>44553</v>
      </c>
      <c r="B753">
        <v>330.10000600000001</v>
      </c>
      <c r="C753">
        <v>336.67001299999998</v>
      </c>
      <c r="D753">
        <v>328.35998499999999</v>
      </c>
      <c r="E753">
        <v>335.23998999999998</v>
      </c>
      <c r="F753">
        <v>335.23998999999998</v>
      </c>
      <c r="G753">
        <v>13987700</v>
      </c>
      <c r="H753" s="2">
        <f t="shared" si="11"/>
        <v>1.4495317978683975E-2</v>
      </c>
      <c r="I753" s="2">
        <f>VLOOKUP(A753,AAPL!A:H,8,)</f>
        <v>3.643816918946996E-3</v>
      </c>
    </row>
    <row r="754" spans="1:9" x14ac:dyDescent="0.35">
      <c r="A754" s="1">
        <v>44557</v>
      </c>
      <c r="B754">
        <v>338.85000600000001</v>
      </c>
      <c r="C754">
        <v>347.86999500000002</v>
      </c>
      <c r="D754">
        <v>338.01001000000002</v>
      </c>
      <c r="E754">
        <v>346.17999300000002</v>
      </c>
      <c r="F754">
        <v>346.17999300000002</v>
      </c>
      <c r="G754">
        <v>17795000</v>
      </c>
      <c r="H754" s="2">
        <f t="shared" si="11"/>
        <v>3.2633347232828847E-2</v>
      </c>
      <c r="I754" s="2">
        <f>VLOOKUP(A754,AAPL!A:H,8,)</f>
        <v>2.2974829946532882E-2</v>
      </c>
    </row>
    <row r="755" spans="1:9" x14ac:dyDescent="0.35">
      <c r="A755" s="1">
        <v>44558</v>
      </c>
      <c r="B755">
        <v>346.63000499999998</v>
      </c>
      <c r="C755">
        <v>352.709991</v>
      </c>
      <c r="D755">
        <v>345.20001200000002</v>
      </c>
      <c r="E755">
        <v>346.22000100000002</v>
      </c>
      <c r="F755">
        <v>346.22000100000002</v>
      </c>
      <c r="G755">
        <v>16637600</v>
      </c>
      <c r="H755" s="2">
        <f t="shared" si="11"/>
        <v>1.155699370529728E-4</v>
      </c>
      <c r="I755" s="2">
        <f>VLOOKUP(A755,AAPL!A:H,8,)</f>
        <v>-5.7672544139383275E-3</v>
      </c>
    </row>
    <row r="756" spans="1:9" x14ac:dyDescent="0.35">
      <c r="A756" s="1">
        <v>44559</v>
      </c>
      <c r="B756">
        <v>346.91000400000001</v>
      </c>
      <c r="C756">
        <v>349.69000199999999</v>
      </c>
      <c r="D756">
        <v>341.64001500000001</v>
      </c>
      <c r="E756">
        <v>342.94000199999999</v>
      </c>
      <c r="F756">
        <v>342.94000199999999</v>
      </c>
      <c r="G756">
        <v>10747000</v>
      </c>
      <c r="H756" s="2">
        <f t="shared" si="11"/>
        <v>-9.4737421019186474E-3</v>
      </c>
      <c r="I756" s="2">
        <f>VLOOKUP(A756,AAPL!A:H,8,)</f>
        <v>5.0204698262223957E-4</v>
      </c>
    </row>
    <row r="757" spans="1:9" x14ac:dyDescent="0.35">
      <c r="A757" s="1">
        <v>44560</v>
      </c>
      <c r="B757">
        <v>344</v>
      </c>
      <c r="C757">
        <v>347.23001099999999</v>
      </c>
      <c r="D757">
        <v>343.22000100000002</v>
      </c>
      <c r="E757">
        <v>344.35998499999999</v>
      </c>
      <c r="F757">
        <v>344.35998499999999</v>
      </c>
      <c r="G757">
        <v>10593300</v>
      </c>
      <c r="H757" s="2">
        <f t="shared" si="11"/>
        <v>4.1406164102140153E-3</v>
      </c>
      <c r="I757" s="2">
        <f>VLOOKUP(A757,AAPL!A:H,8,)</f>
        <v>-6.5782582623967745E-3</v>
      </c>
    </row>
    <row r="758" spans="1:9" x14ac:dyDescent="0.35">
      <c r="A758" s="1">
        <v>44561</v>
      </c>
      <c r="B758">
        <v>343.01998900000001</v>
      </c>
      <c r="C758">
        <v>343.44000199999999</v>
      </c>
      <c r="D758">
        <v>336.26998900000001</v>
      </c>
      <c r="E758">
        <v>336.35000600000001</v>
      </c>
      <c r="F758">
        <v>336.35000600000001</v>
      </c>
      <c r="G758">
        <v>12870500</v>
      </c>
      <c r="H758" s="2">
        <f t="shared" si="11"/>
        <v>-2.3260481324506976E-2</v>
      </c>
      <c r="I758" s="2">
        <f>VLOOKUP(A758,AAPL!A:H,8,)</f>
        <v>-3.5352974781475144E-3</v>
      </c>
    </row>
    <row r="759" spans="1:9" x14ac:dyDescent="0.35">
      <c r="A759" s="1">
        <v>44564</v>
      </c>
      <c r="B759">
        <v>338.29998799999998</v>
      </c>
      <c r="C759">
        <v>341.07998700000002</v>
      </c>
      <c r="D759">
        <v>337.19000199999999</v>
      </c>
      <c r="E759">
        <v>338.540009</v>
      </c>
      <c r="F759">
        <v>338.540009</v>
      </c>
      <c r="G759">
        <v>14537900</v>
      </c>
      <c r="H759" s="2">
        <f t="shared" si="11"/>
        <v>6.5110835764337072E-3</v>
      </c>
      <c r="I759" s="2">
        <f>VLOOKUP(A759,AAPL!A:H,8,)</f>
        <v>2.5004155121759908E-2</v>
      </c>
    </row>
    <row r="760" spans="1:9" x14ac:dyDescent="0.35">
      <c r="A760" s="1">
        <v>44565</v>
      </c>
      <c r="B760">
        <v>339.95001200000002</v>
      </c>
      <c r="C760">
        <v>343.08999599999999</v>
      </c>
      <c r="D760">
        <v>331.86999500000002</v>
      </c>
      <c r="E760">
        <v>336.52999899999998</v>
      </c>
      <c r="F760">
        <v>336.52999899999998</v>
      </c>
      <c r="G760">
        <v>15998000</v>
      </c>
      <c r="H760" s="2">
        <f t="shared" si="11"/>
        <v>-5.9372893795841541E-3</v>
      </c>
      <c r="I760" s="2">
        <f>VLOOKUP(A760,AAPL!A:H,8,)</f>
        <v>-1.2691599711323609E-2</v>
      </c>
    </row>
    <row r="761" spans="1:9" x14ac:dyDescent="0.35">
      <c r="A761" s="1">
        <v>44566</v>
      </c>
      <c r="B761">
        <v>333.01998900000001</v>
      </c>
      <c r="C761">
        <v>335.76001000000002</v>
      </c>
      <c r="D761">
        <v>323.83999599999999</v>
      </c>
      <c r="E761">
        <v>324.17001299999998</v>
      </c>
      <c r="F761">
        <v>324.17001299999998</v>
      </c>
      <c r="G761">
        <v>20564500</v>
      </c>
      <c r="H761" s="2">
        <f t="shared" si="11"/>
        <v>-3.6727739092288103E-2</v>
      </c>
      <c r="I761" s="2">
        <f>VLOOKUP(A761,AAPL!A:H,8,)</f>
        <v>-2.6599883582635764E-2</v>
      </c>
    </row>
    <row r="762" spans="1:9" x14ac:dyDescent="0.35">
      <c r="A762" s="1">
        <v>44567</v>
      </c>
      <c r="B762">
        <v>322.82000699999998</v>
      </c>
      <c r="C762">
        <v>339.17001299999998</v>
      </c>
      <c r="D762">
        <v>322.72000100000002</v>
      </c>
      <c r="E762">
        <v>332.459991</v>
      </c>
      <c r="F762">
        <v>332.459991</v>
      </c>
      <c r="G762">
        <v>27962800</v>
      </c>
      <c r="H762" s="2">
        <f t="shared" si="11"/>
        <v>2.5572932928870307E-2</v>
      </c>
      <c r="I762" s="2">
        <f>VLOOKUP(A762,AAPL!A:H,8,)</f>
        <v>-1.6693334286454697E-2</v>
      </c>
    </row>
    <row r="763" spans="1:9" x14ac:dyDescent="0.35">
      <c r="A763" s="1">
        <v>44568</v>
      </c>
      <c r="B763">
        <v>332.73998999999998</v>
      </c>
      <c r="C763">
        <v>337</v>
      </c>
      <c r="D763">
        <v>328.88000499999998</v>
      </c>
      <c r="E763">
        <v>331.790009</v>
      </c>
      <c r="F763">
        <v>331.790009</v>
      </c>
      <c r="G763">
        <v>14722000</v>
      </c>
      <c r="H763" s="2">
        <f t="shared" si="11"/>
        <v>-2.0152259463906974E-3</v>
      </c>
      <c r="I763" s="2">
        <f>VLOOKUP(A763,AAPL!A:H,8,)</f>
        <v>9.8836046511618925E-4</v>
      </c>
    </row>
    <row r="764" spans="1:9" x14ac:dyDescent="0.35">
      <c r="A764" s="1">
        <v>44571</v>
      </c>
      <c r="B764">
        <v>325.30999800000001</v>
      </c>
      <c r="C764">
        <v>328.33999599999999</v>
      </c>
      <c r="D764">
        <v>315.42999300000002</v>
      </c>
      <c r="E764">
        <v>328.07000699999998</v>
      </c>
      <c r="F764">
        <v>328.07000699999998</v>
      </c>
      <c r="G764">
        <v>24942400</v>
      </c>
      <c r="H764" s="2">
        <f t="shared" si="11"/>
        <v>-1.1211916872397532E-2</v>
      </c>
      <c r="I764" s="2">
        <f>VLOOKUP(A764,AAPL!A:H,8,)</f>
        <v>1.1618749045938515E-4</v>
      </c>
    </row>
    <row r="765" spans="1:9" x14ac:dyDescent="0.35">
      <c r="A765" s="1">
        <v>44572</v>
      </c>
      <c r="B765">
        <v>326.77999899999998</v>
      </c>
      <c r="C765">
        <v>334.63000499999998</v>
      </c>
      <c r="D765">
        <v>325.27999899999998</v>
      </c>
      <c r="E765">
        <v>334.36999500000002</v>
      </c>
      <c r="F765">
        <v>334.36999500000002</v>
      </c>
      <c r="G765">
        <v>16226800</v>
      </c>
      <c r="H765" s="2">
        <f t="shared" si="11"/>
        <v>1.9203181837954553E-2</v>
      </c>
      <c r="I765" s="2">
        <f>VLOOKUP(A765,AAPL!A:H,8,)</f>
        <v>1.6783785158443809E-2</v>
      </c>
    </row>
    <row r="766" spans="1:9" x14ac:dyDescent="0.35">
      <c r="A766" s="1">
        <v>44573</v>
      </c>
      <c r="B766">
        <v>335.17999300000002</v>
      </c>
      <c r="C766">
        <v>336.36999500000002</v>
      </c>
      <c r="D766">
        <v>330.02999899999998</v>
      </c>
      <c r="E766">
        <v>333.26001000000002</v>
      </c>
      <c r="F766">
        <v>333.26001000000002</v>
      </c>
      <c r="G766">
        <v>14104900</v>
      </c>
      <c r="H766" s="2">
        <f t="shared" si="11"/>
        <v>-3.3196309973925198E-3</v>
      </c>
      <c r="I766" s="2">
        <f>VLOOKUP(A766,AAPL!A:H,8,)</f>
        <v>2.5702364339703632E-3</v>
      </c>
    </row>
    <row r="767" spans="1:9" x14ac:dyDescent="0.35">
      <c r="A767" s="1">
        <v>44574</v>
      </c>
      <c r="B767">
        <v>334.98001099999999</v>
      </c>
      <c r="C767">
        <v>335.63000499999998</v>
      </c>
      <c r="D767">
        <v>325.76001000000002</v>
      </c>
      <c r="E767">
        <v>326.48001099999999</v>
      </c>
      <c r="F767">
        <v>326.48001099999999</v>
      </c>
      <c r="G767">
        <v>14797100</v>
      </c>
      <c r="H767" s="2">
        <f t="shared" si="11"/>
        <v>-2.034447217354407E-2</v>
      </c>
      <c r="I767" s="2">
        <f>VLOOKUP(A767,AAPL!A:H,8,)</f>
        <v>-1.9028069384310786E-2</v>
      </c>
    </row>
    <row r="768" spans="1:9" x14ac:dyDescent="0.35">
      <c r="A768" s="1">
        <v>44575</v>
      </c>
      <c r="B768">
        <v>321.790009</v>
      </c>
      <c r="C768">
        <v>332.73001099999999</v>
      </c>
      <c r="D768">
        <v>321.209991</v>
      </c>
      <c r="E768">
        <v>331.89999399999999</v>
      </c>
      <c r="F768">
        <v>331.89999399999999</v>
      </c>
      <c r="G768">
        <v>16868500</v>
      </c>
      <c r="H768" s="2">
        <f t="shared" si="11"/>
        <v>1.6601270575183902E-2</v>
      </c>
      <c r="I768" s="2">
        <f>VLOOKUP(A768,AAPL!A:H,8,)</f>
        <v>5.1106625807462169E-3</v>
      </c>
    </row>
    <row r="769" spans="1:9" x14ac:dyDescent="0.35">
      <c r="A769" s="1">
        <v>44579</v>
      </c>
      <c r="B769">
        <v>323.290009</v>
      </c>
      <c r="C769">
        <v>324.209991</v>
      </c>
      <c r="D769">
        <v>317.64001500000001</v>
      </c>
      <c r="E769">
        <v>318.14999399999999</v>
      </c>
      <c r="F769">
        <v>318.14999399999999</v>
      </c>
      <c r="G769">
        <v>22645600</v>
      </c>
      <c r="H769" s="2">
        <f t="shared" si="11"/>
        <v>-4.1428141755254111E-2</v>
      </c>
      <c r="I769" s="2">
        <f>VLOOKUP(A769,AAPL!A:H,8,)</f>
        <v>-1.8894111444740402E-2</v>
      </c>
    </row>
    <row r="770" spans="1:9" x14ac:dyDescent="0.35">
      <c r="A770" s="1">
        <v>44580</v>
      </c>
      <c r="B770">
        <v>319.57998700000002</v>
      </c>
      <c r="C770">
        <v>327.10000600000001</v>
      </c>
      <c r="D770">
        <v>319.32998700000002</v>
      </c>
      <c r="E770">
        <v>319.58999599999999</v>
      </c>
      <c r="F770">
        <v>319.58999599999999</v>
      </c>
      <c r="G770">
        <v>20814700</v>
      </c>
      <c r="H770" s="2">
        <f t="shared" si="11"/>
        <v>4.5261732741066485E-3</v>
      </c>
      <c r="I770" s="2">
        <f>VLOOKUP(A770,AAPL!A:H,8,)</f>
        <v>-2.1024775835840281E-2</v>
      </c>
    </row>
    <row r="771" spans="1:9" x14ac:dyDescent="0.35">
      <c r="A771" s="1">
        <v>44581</v>
      </c>
      <c r="B771">
        <v>323.89999399999999</v>
      </c>
      <c r="C771">
        <v>327.82000699999998</v>
      </c>
      <c r="D771">
        <v>315.98001099999999</v>
      </c>
      <c r="E771">
        <v>316.55999800000001</v>
      </c>
      <c r="F771">
        <v>316.55999800000001</v>
      </c>
      <c r="G771">
        <v>16925000</v>
      </c>
      <c r="H771" s="2">
        <f t="shared" si="11"/>
        <v>-9.4808912604384954E-3</v>
      </c>
      <c r="I771" s="2">
        <f>VLOOKUP(A771,AAPL!A:H,8,)</f>
        <v>-1.034711569144231E-2</v>
      </c>
    </row>
    <row r="772" spans="1:9" x14ac:dyDescent="0.35">
      <c r="A772" s="1">
        <v>44582</v>
      </c>
      <c r="B772">
        <v>314.80999800000001</v>
      </c>
      <c r="C772">
        <v>318.30999800000001</v>
      </c>
      <c r="D772">
        <v>303.040009</v>
      </c>
      <c r="E772">
        <v>303.17001299999998</v>
      </c>
      <c r="F772">
        <v>303.17001299999998</v>
      </c>
      <c r="G772">
        <v>28710700</v>
      </c>
      <c r="H772" s="2">
        <f t="shared" ref="H772:H835" si="12">E772/E771-1</f>
        <v>-4.2298411310957906E-2</v>
      </c>
      <c r="I772" s="2">
        <f>VLOOKUP(A772,AAPL!A:H,8,)</f>
        <v>-1.2765127127990161E-2</v>
      </c>
    </row>
    <row r="773" spans="1:9" x14ac:dyDescent="0.35">
      <c r="A773" s="1">
        <v>44585</v>
      </c>
      <c r="B773">
        <v>297.83999599999999</v>
      </c>
      <c r="C773">
        <v>309.52999899999998</v>
      </c>
      <c r="D773">
        <v>289.01001000000002</v>
      </c>
      <c r="E773">
        <v>308.709991</v>
      </c>
      <c r="F773">
        <v>308.709991</v>
      </c>
      <c r="G773">
        <v>38878100</v>
      </c>
      <c r="H773" s="2">
        <f t="shared" si="12"/>
        <v>1.827350253139981E-2</v>
      </c>
      <c r="I773" s="2">
        <f>VLOOKUP(A773,AAPL!A:H,8,)</f>
        <v>-4.8642877935031192E-3</v>
      </c>
    </row>
    <row r="774" spans="1:9" x14ac:dyDescent="0.35">
      <c r="A774" s="1">
        <v>44586</v>
      </c>
      <c r="B774">
        <v>299.95001200000002</v>
      </c>
      <c r="C774">
        <v>306.23001099999999</v>
      </c>
      <c r="D774">
        <v>297.57998700000002</v>
      </c>
      <c r="E774">
        <v>300.14999399999999</v>
      </c>
      <c r="F774">
        <v>300.14999399999999</v>
      </c>
      <c r="G774">
        <v>25108500</v>
      </c>
      <c r="H774" s="2">
        <f t="shared" si="12"/>
        <v>-2.7728279775694142E-2</v>
      </c>
      <c r="I774" s="2">
        <f>VLOOKUP(A774,AAPL!A:H,8,)</f>
        <v>-1.1384705215465307E-2</v>
      </c>
    </row>
    <row r="775" spans="1:9" x14ac:dyDescent="0.35">
      <c r="A775" s="1">
        <v>44587</v>
      </c>
      <c r="B775">
        <v>307.01001000000002</v>
      </c>
      <c r="C775">
        <v>307.51001000000002</v>
      </c>
      <c r="D775">
        <v>290.85000600000001</v>
      </c>
      <c r="E775">
        <v>294.63000499999998</v>
      </c>
      <c r="F775">
        <v>294.63000499999998</v>
      </c>
      <c r="G775">
        <v>28348800</v>
      </c>
      <c r="H775" s="2">
        <f t="shared" si="12"/>
        <v>-1.8390768316990269E-2</v>
      </c>
      <c r="I775" s="2">
        <f>VLOOKUP(A775,AAPL!A:H,8,)</f>
        <v>-5.6325573014937014E-4</v>
      </c>
    </row>
    <row r="776" spans="1:9" x14ac:dyDescent="0.35">
      <c r="A776" s="1">
        <v>44588</v>
      </c>
      <c r="B776">
        <v>297.75</v>
      </c>
      <c r="C776">
        <v>301.709991</v>
      </c>
      <c r="D776">
        <v>294.26001000000002</v>
      </c>
      <c r="E776">
        <v>294.64001500000001</v>
      </c>
      <c r="F776">
        <v>294.64001500000001</v>
      </c>
      <c r="G776">
        <v>21629900</v>
      </c>
      <c r="H776" s="2">
        <f t="shared" si="12"/>
        <v>3.3974815294213201E-5</v>
      </c>
      <c r="I776" s="2">
        <f>VLOOKUP(A776,AAPL!A:H,8,)</f>
        <v>-2.9432086800273982E-3</v>
      </c>
    </row>
    <row r="777" spans="1:9" x14ac:dyDescent="0.35">
      <c r="A777" s="1">
        <v>44589</v>
      </c>
      <c r="B777">
        <v>295.61999500000002</v>
      </c>
      <c r="C777">
        <v>301.89999399999999</v>
      </c>
      <c r="D777">
        <v>293.02999899999998</v>
      </c>
      <c r="E777">
        <v>301.709991</v>
      </c>
      <c r="F777">
        <v>301.709991</v>
      </c>
      <c r="G777">
        <v>21871600</v>
      </c>
      <c r="H777" s="2">
        <f t="shared" si="12"/>
        <v>2.399530152073881E-2</v>
      </c>
      <c r="I777" s="2">
        <f>VLOOKUP(A777,AAPL!A:H,8,)</f>
        <v>6.9777671964717625E-2</v>
      </c>
    </row>
    <row r="778" spans="1:9" x14ac:dyDescent="0.35">
      <c r="A778" s="1">
        <v>44592</v>
      </c>
      <c r="B778">
        <v>300.67999300000002</v>
      </c>
      <c r="C778">
        <v>313.790009</v>
      </c>
      <c r="D778">
        <v>299.32000699999998</v>
      </c>
      <c r="E778">
        <v>313.26001000000002</v>
      </c>
      <c r="F778">
        <v>313.26001000000002</v>
      </c>
      <c r="G778">
        <v>21579500</v>
      </c>
      <c r="H778" s="2">
        <f t="shared" si="12"/>
        <v>3.8281857891805826E-2</v>
      </c>
      <c r="I778" s="2">
        <f>VLOOKUP(A778,AAPL!A:H,8,)</f>
        <v>2.6125737965998486E-2</v>
      </c>
    </row>
    <row r="779" spans="1:9" x14ac:dyDescent="0.35">
      <c r="A779" s="1">
        <v>44593</v>
      </c>
      <c r="B779">
        <v>314.55999800000001</v>
      </c>
      <c r="C779">
        <v>319.66000400000001</v>
      </c>
      <c r="D779">
        <v>312.11999500000002</v>
      </c>
      <c r="E779">
        <v>319</v>
      </c>
      <c r="F779">
        <v>319</v>
      </c>
      <c r="G779">
        <v>18023800</v>
      </c>
      <c r="H779" s="2">
        <f t="shared" si="12"/>
        <v>1.8323404892951256E-2</v>
      </c>
      <c r="I779" s="2">
        <f>VLOOKUP(A779,AAPL!A:H,8,)</f>
        <v>-9.7263989571250153E-4</v>
      </c>
    </row>
    <row r="780" spans="1:9" x14ac:dyDescent="0.35">
      <c r="A780" s="1">
        <v>44594</v>
      </c>
      <c r="B780">
        <v>327.82000699999998</v>
      </c>
      <c r="C780">
        <v>328</v>
      </c>
      <c r="D780">
        <v>316.86999500000002</v>
      </c>
      <c r="E780">
        <v>323</v>
      </c>
      <c r="F780">
        <v>323</v>
      </c>
      <c r="G780">
        <v>58458300</v>
      </c>
      <c r="H780" s="2">
        <f t="shared" si="12"/>
        <v>1.2539184952978122E-2</v>
      </c>
      <c r="I780" s="2">
        <f>VLOOKUP(A780,AAPL!A:H,8,)</f>
        <v>7.0442414120368557E-3</v>
      </c>
    </row>
    <row r="781" spans="1:9" x14ac:dyDescent="0.35">
      <c r="A781" s="1">
        <v>44595</v>
      </c>
      <c r="B781">
        <v>244.64999399999999</v>
      </c>
      <c r="C781">
        <v>248</v>
      </c>
      <c r="D781">
        <v>235.75</v>
      </c>
      <c r="E781">
        <v>237.759995</v>
      </c>
      <c r="F781">
        <v>237.759995</v>
      </c>
      <c r="G781">
        <v>188119900</v>
      </c>
      <c r="H781" s="2">
        <f t="shared" si="12"/>
        <v>-0.26390094427244581</v>
      </c>
      <c r="I781" s="2">
        <f>VLOOKUP(A781,AAPL!A:H,8,)</f>
        <v>-1.6719756977246591E-2</v>
      </c>
    </row>
    <row r="782" spans="1:9" x14ac:dyDescent="0.35">
      <c r="A782" s="1">
        <v>44596</v>
      </c>
      <c r="B782">
        <v>234.970001</v>
      </c>
      <c r="C782">
        <v>242.61000100000001</v>
      </c>
      <c r="D782">
        <v>230.11000100000001</v>
      </c>
      <c r="E782">
        <v>237.08999600000001</v>
      </c>
      <c r="F782">
        <v>237.08999600000001</v>
      </c>
      <c r="G782">
        <v>89342200</v>
      </c>
      <c r="H782" s="2">
        <f t="shared" si="12"/>
        <v>-2.8179635518582602E-3</v>
      </c>
      <c r="I782" s="2">
        <f>VLOOKUP(A782,AAPL!A:H,8,)</f>
        <v>-2.9496530809596244E-3</v>
      </c>
    </row>
    <row r="783" spans="1:9" x14ac:dyDescent="0.35">
      <c r="A783" s="1">
        <v>44599</v>
      </c>
      <c r="B783">
        <v>237.699997</v>
      </c>
      <c r="C783">
        <v>238.300003</v>
      </c>
      <c r="D783">
        <v>224.009995</v>
      </c>
      <c r="E783">
        <v>224.91000399999999</v>
      </c>
      <c r="F783">
        <v>224.91000399999999</v>
      </c>
      <c r="G783">
        <v>88613800</v>
      </c>
      <c r="H783" s="2">
        <f t="shared" si="12"/>
        <v>-5.1372863492730514E-2</v>
      </c>
      <c r="I783" s="2">
        <f>VLOOKUP(A783,AAPL!A:H,8,)</f>
        <v>-4.2345553932047197E-3</v>
      </c>
    </row>
    <row r="784" spans="1:9" x14ac:dyDescent="0.35">
      <c r="A784" s="1">
        <v>44600</v>
      </c>
      <c r="B784">
        <v>220.85000600000001</v>
      </c>
      <c r="C784">
        <v>225.770004</v>
      </c>
      <c r="D784">
        <v>216.14999399999999</v>
      </c>
      <c r="E784">
        <v>220.179993</v>
      </c>
      <c r="F784">
        <v>220.179993</v>
      </c>
      <c r="G784">
        <v>94729700</v>
      </c>
      <c r="H784" s="2">
        <f t="shared" si="12"/>
        <v>-2.1030683010436424E-2</v>
      </c>
      <c r="I784" s="2">
        <f>VLOOKUP(A784,AAPL!A:H,8,)</f>
        <v>1.8466724491047026E-2</v>
      </c>
    </row>
    <row r="785" spans="1:9" x14ac:dyDescent="0.35">
      <c r="A785" s="1">
        <v>44601</v>
      </c>
      <c r="B785">
        <v>224.199997</v>
      </c>
      <c r="C785">
        <v>233.36999499999999</v>
      </c>
      <c r="D785">
        <v>222.21000699999999</v>
      </c>
      <c r="E785">
        <v>232</v>
      </c>
      <c r="F785">
        <v>232</v>
      </c>
      <c r="G785">
        <v>86563300</v>
      </c>
      <c r="H785" s="2">
        <f t="shared" si="12"/>
        <v>5.3683383485256142E-2</v>
      </c>
      <c r="I785" s="2">
        <f>VLOOKUP(A785,AAPL!A:H,8,)</f>
        <v>8.2937538375136288E-3</v>
      </c>
    </row>
    <row r="786" spans="1:9" x14ac:dyDescent="0.35">
      <c r="A786" s="1">
        <v>44602</v>
      </c>
      <c r="B786">
        <v>228.270004</v>
      </c>
      <c r="C786">
        <v>235</v>
      </c>
      <c r="D786">
        <v>226.699997</v>
      </c>
      <c r="E786">
        <v>228.070007</v>
      </c>
      <c r="F786">
        <v>228.070007</v>
      </c>
      <c r="G786">
        <v>49310400</v>
      </c>
      <c r="H786" s="2">
        <f t="shared" si="12"/>
        <v>-1.6939625000000014E-2</v>
      </c>
      <c r="I786" s="2">
        <f>VLOOKUP(A786,AAPL!A:H,8,)</f>
        <v>-2.3598842884041571E-2</v>
      </c>
    </row>
    <row r="787" spans="1:9" x14ac:dyDescent="0.35">
      <c r="A787" s="1">
        <v>44603</v>
      </c>
      <c r="B787">
        <v>228.46000699999999</v>
      </c>
      <c r="C787">
        <v>230.41999799999999</v>
      </c>
      <c r="D787">
        <v>218.770004</v>
      </c>
      <c r="E787">
        <v>219.550003</v>
      </c>
      <c r="F787">
        <v>219.550003</v>
      </c>
      <c r="G787">
        <v>46156900</v>
      </c>
      <c r="H787" s="2">
        <f t="shared" si="12"/>
        <v>-3.7356968204942387E-2</v>
      </c>
      <c r="I787" s="2">
        <f>VLOOKUP(A787,AAPL!A:H,8,)</f>
        <v>-2.0218429590356468E-2</v>
      </c>
    </row>
    <row r="788" spans="1:9" x14ac:dyDescent="0.35">
      <c r="A788" s="1">
        <v>44606</v>
      </c>
      <c r="B788">
        <v>219.30999800000001</v>
      </c>
      <c r="C788">
        <v>221</v>
      </c>
      <c r="D788">
        <v>214.779999</v>
      </c>
      <c r="E788">
        <v>217.699997</v>
      </c>
      <c r="F788">
        <v>217.699997</v>
      </c>
      <c r="G788">
        <v>38184000</v>
      </c>
      <c r="H788" s="2">
        <f t="shared" si="12"/>
        <v>-8.4263537905758801E-3</v>
      </c>
      <c r="I788" s="2">
        <f>VLOOKUP(A788,AAPL!A:H,8,)</f>
        <v>1.4231854923103526E-3</v>
      </c>
    </row>
    <row r="789" spans="1:9" x14ac:dyDescent="0.35">
      <c r="A789" s="1">
        <v>44607</v>
      </c>
      <c r="B789">
        <v>220.470001</v>
      </c>
      <c r="C789">
        <v>221.14999399999999</v>
      </c>
      <c r="D789">
        <v>215.05999800000001</v>
      </c>
      <c r="E789">
        <v>221</v>
      </c>
      <c r="F789">
        <v>221</v>
      </c>
      <c r="G789">
        <v>42685500</v>
      </c>
      <c r="H789" s="2">
        <f t="shared" si="12"/>
        <v>1.5158488954871263E-2</v>
      </c>
      <c r="I789" s="2">
        <f>VLOOKUP(A789,AAPL!A:H,8,)</f>
        <v>2.3152462602070711E-2</v>
      </c>
    </row>
    <row r="790" spans="1:9" x14ac:dyDescent="0.35">
      <c r="A790" s="1">
        <v>44608</v>
      </c>
      <c r="B790">
        <v>212.41000399999999</v>
      </c>
      <c r="C790">
        <v>217.46000699999999</v>
      </c>
      <c r="D790">
        <v>212.36000100000001</v>
      </c>
      <c r="E790">
        <v>216.53999300000001</v>
      </c>
      <c r="F790">
        <v>216.53999300000001</v>
      </c>
      <c r="G790">
        <v>45817500</v>
      </c>
      <c r="H790" s="2">
        <f t="shared" si="12"/>
        <v>-2.018102714932124E-2</v>
      </c>
      <c r="I790" s="2">
        <f>VLOOKUP(A790,AAPL!A:H,8,)</f>
        <v>-1.3889114516024703E-3</v>
      </c>
    </row>
    <row r="791" spans="1:9" x14ac:dyDescent="0.35">
      <c r="A791" s="1">
        <v>44609</v>
      </c>
      <c r="B791">
        <v>214.020004</v>
      </c>
      <c r="C791">
        <v>217.5</v>
      </c>
      <c r="D791">
        <v>207.16000399999999</v>
      </c>
      <c r="E791">
        <v>207.71000699999999</v>
      </c>
      <c r="F791">
        <v>207.71000699999999</v>
      </c>
      <c r="G791">
        <v>38747500</v>
      </c>
      <c r="H791" s="2">
        <f t="shared" si="12"/>
        <v>-4.0777622081109133E-2</v>
      </c>
      <c r="I791" s="2">
        <f>VLOOKUP(A791,AAPL!A:H,8,)</f>
        <v>-2.1269185373471111E-2</v>
      </c>
    </row>
    <row r="792" spans="1:9" x14ac:dyDescent="0.35">
      <c r="A792" s="1">
        <v>44610</v>
      </c>
      <c r="B792">
        <v>209.38999899999999</v>
      </c>
      <c r="C792">
        <v>210.75</v>
      </c>
      <c r="D792">
        <v>205.179993</v>
      </c>
      <c r="E792">
        <v>206.16000399999999</v>
      </c>
      <c r="F792">
        <v>206.16000399999999</v>
      </c>
      <c r="G792">
        <v>37128400</v>
      </c>
      <c r="H792" s="2">
        <f t="shared" si="12"/>
        <v>-7.4623414749583894E-3</v>
      </c>
      <c r="I792" s="2">
        <f>VLOOKUP(A792,AAPL!A:H,8,)</f>
        <v>-9.355767131816517E-3</v>
      </c>
    </row>
    <row r="793" spans="1:9" x14ac:dyDescent="0.35">
      <c r="A793" s="1">
        <v>44614</v>
      </c>
      <c r="B793">
        <v>202.33999600000001</v>
      </c>
      <c r="C793">
        <v>207.479996</v>
      </c>
      <c r="D793">
        <v>200.05999800000001</v>
      </c>
      <c r="E793">
        <v>202.08000200000001</v>
      </c>
      <c r="F793">
        <v>202.08000200000001</v>
      </c>
      <c r="G793">
        <v>39852400</v>
      </c>
      <c r="H793" s="2">
        <f t="shared" si="12"/>
        <v>-1.9790463333518304E-2</v>
      </c>
      <c r="I793" s="2">
        <f>VLOOKUP(A793,AAPL!A:H,8,)</f>
        <v>-1.7812288981250091E-2</v>
      </c>
    </row>
    <row r="794" spans="1:9" x14ac:dyDescent="0.35">
      <c r="A794" s="1">
        <v>44615</v>
      </c>
      <c r="B794">
        <v>204.16000399999999</v>
      </c>
      <c r="C794">
        <v>206.94000199999999</v>
      </c>
      <c r="D794">
        <v>198.050003</v>
      </c>
      <c r="E794">
        <v>198.449997</v>
      </c>
      <c r="F794">
        <v>198.449997</v>
      </c>
      <c r="G794">
        <v>44481400</v>
      </c>
      <c r="H794" s="2">
        <f t="shared" si="12"/>
        <v>-1.7963207462755371E-2</v>
      </c>
      <c r="I794" s="2">
        <f>VLOOKUP(A794,AAPL!A:H,8,)</f>
        <v>-2.5864166376283082E-2</v>
      </c>
    </row>
    <row r="795" spans="1:9" x14ac:dyDescent="0.35">
      <c r="A795" s="1">
        <v>44616</v>
      </c>
      <c r="B795">
        <v>191.05999800000001</v>
      </c>
      <c r="C795">
        <v>208.35000600000001</v>
      </c>
      <c r="D795">
        <v>190.220001</v>
      </c>
      <c r="E795">
        <v>207.60000600000001</v>
      </c>
      <c r="F795">
        <v>207.60000600000001</v>
      </c>
      <c r="G795">
        <v>49957200</v>
      </c>
      <c r="H795" s="2">
        <f t="shared" si="12"/>
        <v>4.6107377870103994E-2</v>
      </c>
      <c r="I795" s="2">
        <f>VLOOKUP(A795,AAPL!A:H,8,)</f>
        <v>1.6680189187472161E-2</v>
      </c>
    </row>
    <row r="796" spans="1:9" x14ac:dyDescent="0.35">
      <c r="A796" s="1">
        <v>44617</v>
      </c>
      <c r="B796">
        <v>204.94000199999999</v>
      </c>
      <c r="C796">
        <v>211.320007</v>
      </c>
      <c r="D796">
        <v>203.179993</v>
      </c>
      <c r="E796">
        <v>210.479996</v>
      </c>
      <c r="F796">
        <v>210.479996</v>
      </c>
      <c r="G796">
        <v>37627600</v>
      </c>
      <c r="H796" s="2">
        <f t="shared" si="12"/>
        <v>1.3872783799437904E-2</v>
      </c>
      <c r="I796" s="2">
        <f>VLOOKUP(A796,AAPL!A:H,8,)</f>
        <v>1.2965472134525369E-2</v>
      </c>
    </row>
    <row r="797" spans="1:9" x14ac:dyDescent="0.35">
      <c r="A797" s="1">
        <v>44620</v>
      </c>
      <c r="B797">
        <v>207.679993</v>
      </c>
      <c r="C797">
        <v>213.14999399999999</v>
      </c>
      <c r="D797">
        <v>206.83000200000001</v>
      </c>
      <c r="E797">
        <v>211.029999</v>
      </c>
      <c r="F797">
        <v>211.029999</v>
      </c>
      <c r="G797">
        <v>34239800</v>
      </c>
      <c r="H797" s="2">
        <f t="shared" si="12"/>
        <v>2.6130891792681687E-3</v>
      </c>
      <c r="I797" s="2">
        <f>VLOOKUP(A797,AAPL!A:H,8,)</f>
        <v>1.6377858063285622E-3</v>
      </c>
    </row>
    <row r="798" spans="1:9" x14ac:dyDescent="0.35">
      <c r="A798" s="1">
        <v>44621</v>
      </c>
      <c r="B798">
        <v>209.86999499999999</v>
      </c>
      <c r="C798">
        <v>211.75</v>
      </c>
      <c r="D798">
        <v>202.220001</v>
      </c>
      <c r="E798">
        <v>203.490005</v>
      </c>
      <c r="F798">
        <v>203.490005</v>
      </c>
      <c r="G798">
        <v>27094900</v>
      </c>
      <c r="H798" s="2">
        <f t="shared" si="12"/>
        <v>-3.5729488867599413E-2</v>
      </c>
      <c r="I798" s="2">
        <f>VLOOKUP(A798,AAPL!A:H,8,)</f>
        <v>-1.1627895216445472E-2</v>
      </c>
    </row>
    <row r="799" spans="1:9" x14ac:dyDescent="0.35">
      <c r="A799" s="1">
        <v>44622</v>
      </c>
      <c r="B799">
        <v>204.779999</v>
      </c>
      <c r="C799">
        <v>209.14999399999999</v>
      </c>
      <c r="D799">
        <v>202.020004</v>
      </c>
      <c r="E799">
        <v>208.11000100000001</v>
      </c>
      <c r="F799">
        <v>208.11000100000001</v>
      </c>
      <c r="G799">
        <v>29452100</v>
      </c>
      <c r="H799" s="2">
        <f t="shared" si="12"/>
        <v>2.2703798154607213E-2</v>
      </c>
      <c r="I799" s="2">
        <f>VLOOKUP(A799,AAPL!A:H,8,)</f>
        <v>2.0588241800028939E-2</v>
      </c>
    </row>
    <row r="800" spans="1:9" x14ac:dyDescent="0.35">
      <c r="A800" s="1">
        <v>44623</v>
      </c>
      <c r="B800">
        <v>209.020004</v>
      </c>
      <c r="C800">
        <v>209.08000200000001</v>
      </c>
      <c r="D800">
        <v>201.41999799999999</v>
      </c>
      <c r="E800">
        <v>202.970001</v>
      </c>
      <c r="F800">
        <v>202.970001</v>
      </c>
      <c r="G800">
        <v>27263500</v>
      </c>
      <c r="H800" s="2">
        <f t="shared" si="12"/>
        <v>-2.4698476648414514E-2</v>
      </c>
      <c r="I800" s="2">
        <f>VLOOKUP(A800,AAPL!A:H,8,)</f>
        <v>-1.9812800430029087E-3</v>
      </c>
    </row>
    <row r="801" spans="1:9" x14ac:dyDescent="0.35">
      <c r="A801" s="1">
        <v>44624</v>
      </c>
      <c r="B801">
        <v>202.36999499999999</v>
      </c>
      <c r="C801">
        <v>205.88999899999999</v>
      </c>
      <c r="D801">
        <v>198.78999300000001</v>
      </c>
      <c r="E801">
        <v>200.05999800000001</v>
      </c>
      <c r="F801">
        <v>200.05999800000001</v>
      </c>
      <c r="G801">
        <v>32130900</v>
      </c>
      <c r="H801" s="2">
        <f t="shared" si="12"/>
        <v>-1.4337108861717907E-2</v>
      </c>
      <c r="I801" s="2">
        <f>VLOOKUP(A801,AAPL!A:H,8,)</f>
        <v>-1.8408217972886276E-2</v>
      </c>
    </row>
    <row r="802" spans="1:9" x14ac:dyDescent="0.35">
      <c r="A802" s="1">
        <v>44627</v>
      </c>
      <c r="B802">
        <v>200.78999300000001</v>
      </c>
      <c r="C802">
        <v>200.88999899999999</v>
      </c>
      <c r="D802">
        <v>187.279999</v>
      </c>
      <c r="E802">
        <v>187.470001</v>
      </c>
      <c r="F802">
        <v>187.470001</v>
      </c>
      <c r="G802">
        <v>38560600</v>
      </c>
      <c r="H802" s="2">
        <f t="shared" si="12"/>
        <v>-6.2931106297421935E-2</v>
      </c>
      <c r="I802" s="2">
        <f>VLOOKUP(A802,AAPL!A:H,8,)</f>
        <v>-2.3717564793988566E-2</v>
      </c>
    </row>
    <row r="803" spans="1:9" x14ac:dyDescent="0.35">
      <c r="A803" s="1">
        <v>44628</v>
      </c>
      <c r="B803">
        <v>187.85000600000001</v>
      </c>
      <c r="C803">
        <v>196.699997</v>
      </c>
      <c r="D803">
        <v>186.11000100000001</v>
      </c>
      <c r="E803">
        <v>190.28999300000001</v>
      </c>
      <c r="F803">
        <v>190.28999300000001</v>
      </c>
      <c r="G803">
        <v>37508100</v>
      </c>
      <c r="H803" s="2">
        <f t="shared" si="12"/>
        <v>1.5042364031352395E-2</v>
      </c>
      <c r="I803" s="2">
        <f>VLOOKUP(A803,AAPL!A:H,8,)</f>
        <v>-1.1676088920098859E-2</v>
      </c>
    </row>
    <row r="804" spans="1:9" x14ac:dyDescent="0.35">
      <c r="A804" s="1">
        <v>44629</v>
      </c>
      <c r="B804">
        <v>195.740005</v>
      </c>
      <c r="C804">
        <v>199.10000600000001</v>
      </c>
      <c r="D804">
        <v>193.91999799999999</v>
      </c>
      <c r="E804">
        <v>198.5</v>
      </c>
      <c r="F804">
        <v>198.5</v>
      </c>
      <c r="G804">
        <v>31894700</v>
      </c>
      <c r="H804" s="2">
        <f t="shared" si="12"/>
        <v>4.3144712291833365E-2</v>
      </c>
      <c r="I804" s="2">
        <f>VLOOKUP(A804,AAPL!A:H,8,)</f>
        <v>3.4997427146882254E-2</v>
      </c>
    </row>
    <row r="805" spans="1:9" x14ac:dyDescent="0.35">
      <c r="A805" s="1">
        <v>44630</v>
      </c>
      <c r="B805">
        <v>194.83999600000001</v>
      </c>
      <c r="C805">
        <v>196.279999</v>
      </c>
      <c r="D805">
        <v>191.070007</v>
      </c>
      <c r="E805">
        <v>195.21000699999999</v>
      </c>
      <c r="F805">
        <v>195.21000699999999</v>
      </c>
      <c r="G805">
        <v>24853000</v>
      </c>
      <c r="H805" s="2">
        <f t="shared" si="12"/>
        <v>-1.6574272040302263E-2</v>
      </c>
      <c r="I805" s="2">
        <f>VLOOKUP(A805,AAPL!A:H,8,)</f>
        <v>-2.718621099452978E-2</v>
      </c>
    </row>
    <row r="806" spans="1:9" x14ac:dyDescent="0.35">
      <c r="A806" s="1">
        <v>44631</v>
      </c>
      <c r="B806">
        <v>192.63999899999999</v>
      </c>
      <c r="C806">
        <v>193.55999800000001</v>
      </c>
      <c r="D806">
        <v>186.66999799999999</v>
      </c>
      <c r="E806">
        <v>187.61000100000001</v>
      </c>
      <c r="F806">
        <v>187.61000100000001</v>
      </c>
      <c r="G806">
        <v>34694500</v>
      </c>
      <c r="H806" s="2">
        <f t="shared" si="12"/>
        <v>-3.8932461080235403E-2</v>
      </c>
      <c r="I806" s="2">
        <f>VLOOKUP(A806,AAPL!A:H,8,)</f>
        <v>-2.3908704922818491E-2</v>
      </c>
    </row>
    <row r="807" spans="1:9" x14ac:dyDescent="0.35">
      <c r="A807" s="1">
        <v>44634</v>
      </c>
      <c r="B807">
        <v>187.029999</v>
      </c>
      <c r="C807">
        <v>192.28999300000001</v>
      </c>
      <c r="D807">
        <v>185.820007</v>
      </c>
      <c r="E807">
        <v>186.63000500000001</v>
      </c>
      <c r="F807">
        <v>186.63000500000001</v>
      </c>
      <c r="G807">
        <v>31010500</v>
      </c>
      <c r="H807" s="2">
        <f t="shared" si="12"/>
        <v>-5.2235808047355059E-3</v>
      </c>
      <c r="I807" s="2">
        <f>VLOOKUP(A807,AAPL!A:H,8,)</f>
        <v>-2.6562406167192076E-2</v>
      </c>
    </row>
    <row r="808" spans="1:9" x14ac:dyDescent="0.35">
      <c r="A808" s="1">
        <v>44635</v>
      </c>
      <c r="B808">
        <v>190.800003</v>
      </c>
      <c r="C808">
        <v>192.279999</v>
      </c>
      <c r="D808">
        <v>185.91000399999999</v>
      </c>
      <c r="E808">
        <v>192.029999</v>
      </c>
      <c r="F808">
        <v>192.029999</v>
      </c>
      <c r="G808">
        <v>31721700</v>
      </c>
      <c r="H808" s="2">
        <f t="shared" si="12"/>
        <v>2.8934222018586864E-2</v>
      </c>
      <c r="I808" s="2">
        <f>VLOOKUP(A808,AAPL!A:H,8,)</f>
        <v>2.9677341311822758E-2</v>
      </c>
    </row>
    <row r="809" spans="1:9" x14ac:dyDescent="0.35">
      <c r="A809" s="1">
        <v>44636</v>
      </c>
      <c r="B809">
        <v>194.699997</v>
      </c>
      <c r="C809">
        <v>203.729996</v>
      </c>
      <c r="D809">
        <v>194.520004</v>
      </c>
      <c r="E809">
        <v>203.63000500000001</v>
      </c>
      <c r="F809">
        <v>203.63000500000001</v>
      </c>
      <c r="G809">
        <v>40640300</v>
      </c>
      <c r="H809" s="2">
        <f t="shared" si="12"/>
        <v>6.0407259596975793E-2</v>
      </c>
      <c r="I809" s="2">
        <f>VLOOKUP(A809,AAPL!A:H,8,)</f>
        <v>2.901541115521078E-2</v>
      </c>
    </row>
    <row r="810" spans="1:9" x14ac:dyDescent="0.35">
      <c r="A810" s="1">
        <v>44637</v>
      </c>
      <c r="B810">
        <v>201.699997</v>
      </c>
      <c r="C810">
        <v>208.03999300000001</v>
      </c>
      <c r="D810">
        <v>201.11000100000001</v>
      </c>
      <c r="E810">
        <v>207.83999600000001</v>
      </c>
      <c r="F810">
        <v>207.83999600000001</v>
      </c>
      <c r="G810">
        <v>29499700</v>
      </c>
      <c r="H810" s="2">
        <f t="shared" si="12"/>
        <v>2.0674708523432006E-2</v>
      </c>
      <c r="I810" s="2">
        <f>VLOOKUP(A810,AAPL!A:H,8,)</f>
        <v>6.4540323692969803E-3</v>
      </c>
    </row>
    <row r="811" spans="1:9" x14ac:dyDescent="0.35">
      <c r="A811" s="1">
        <v>44638</v>
      </c>
      <c r="B811">
        <v>206.699997</v>
      </c>
      <c r="C811">
        <v>216.800003</v>
      </c>
      <c r="D811">
        <v>206</v>
      </c>
      <c r="E811">
        <v>216.490005</v>
      </c>
      <c r="F811">
        <v>216.490005</v>
      </c>
      <c r="G811">
        <v>52128000</v>
      </c>
      <c r="H811" s="2">
        <f t="shared" si="12"/>
        <v>4.161859683638558E-2</v>
      </c>
      <c r="I811" s="2">
        <f>VLOOKUP(A811,AAPL!A:H,8,)</f>
        <v>2.0918945988013471E-2</v>
      </c>
    </row>
    <row r="812" spans="1:9" x14ac:dyDescent="0.35">
      <c r="A812" s="1">
        <v>44641</v>
      </c>
      <c r="B812">
        <v>214.5</v>
      </c>
      <c r="C812">
        <v>214.71000699999999</v>
      </c>
      <c r="D812">
        <v>207.63000500000001</v>
      </c>
      <c r="E812">
        <v>211.490005</v>
      </c>
      <c r="F812">
        <v>211.490005</v>
      </c>
      <c r="G812">
        <v>30142300</v>
      </c>
      <c r="H812" s="2">
        <f t="shared" si="12"/>
        <v>-2.3095754466817109E-2</v>
      </c>
      <c r="I812" s="2">
        <f>VLOOKUP(A812,AAPL!A:H,8,)</f>
        <v>8.5376816328255334E-3</v>
      </c>
    </row>
    <row r="813" spans="1:9" x14ac:dyDescent="0.35">
      <c r="A813" s="1">
        <v>44642</v>
      </c>
      <c r="B813">
        <v>211.36999499999999</v>
      </c>
      <c r="C813">
        <v>219.46000699999999</v>
      </c>
      <c r="D813">
        <v>210.179993</v>
      </c>
      <c r="E813">
        <v>216.64999399999999</v>
      </c>
      <c r="F813">
        <v>216.64999399999999</v>
      </c>
      <c r="G813">
        <v>31998800</v>
      </c>
      <c r="H813" s="2">
        <f t="shared" si="12"/>
        <v>2.4398264116547663E-2</v>
      </c>
      <c r="I813" s="2">
        <f>VLOOKUP(A813,AAPL!A:H,8,)</f>
        <v>2.0800591945803859E-2</v>
      </c>
    </row>
    <row r="814" spans="1:9" x14ac:dyDescent="0.35">
      <c r="A814" s="1">
        <v>44643</v>
      </c>
      <c r="B814">
        <v>213.33000200000001</v>
      </c>
      <c r="C814">
        <v>216.800003</v>
      </c>
      <c r="D814">
        <v>212.16000399999999</v>
      </c>
      <c r="E814">
        <v>213.46000699999999</v>
      </c>
      <c r="F814">
        <v>213.46000699999999</v>
      </c>
      <c r="G814">
        <v>23717300</v>
      </c>
      <c r="H814" s="2">
        <f t="shared" si="12"/>
        <v>-1.4724149957742405E-2</v>
      </c>
      <c r="I814" s="2">
        <f>VLOOKUP(A814,AAPL!A:H,8,)</f>
        <v>8.2336212674127829E-3</v>
      </c>
    </row>
    <row r="815" spans="1:9" x14ac:dyDescent="0.35">
      <c r="A815" s="1">
        <v>44644</v>
      </c>
      <c r="B815">
        <v>215</v>
      </c>
      <c r="C815">
        <v>220.66999799999999</v>
      </c>
      <c r="D815">
        <v>214.78999300000001</v>
      </c>
      <c r="E815">
        <v>219.570007</v>
      </c>
      <c r="F815">
        <v>219.570007</v>
      </c>
      <c r="G815">
        <v>31502300</v>
      </c>
      <c r="H815" s="2">
        <f t="shared" si="12"/>
        <v>2.8623628781198507E-2</v>
      </c>
      <c r="I815" s="2">
        <f>VLOOKUP(A815,AAPL!A:H,8,)</f>
        <v>2.2677867582721056E-2</v>
      </c>
    </row>
    <row r="816" spans="1:9" x14ac:dyDescent="0.35">
      <c r="A816" s="1">
        <v>44645</v>
      </c>
      <c r="B816">
        <v>220.509995</v>
      </c>
      <c r="C816">
        <v>225.5</v>
      </c>
      <c r="D816">
        <v>218.88999899999999</v>
      </c>
      <c r="E816">
        <v>221.820007</v>
      </c>
      <c r="F816">
        <v>221.820007</v>
      </c>
      <c r="G816">
        <v>40039000</v>
      </c>
      <c r="H816" s="2">
        <f t="shared" si="12"/>
        <v>1.0247301217237714E-2</v>
      </c>
      <c r="I816" s="2">
        <f>VLOOKUP(A816,AAPL!A:H,8,)</f>
        <v>3.7340953286684186E-3</v>
      </c>
    </row>
    <row r="817" spans="1:9" x14ac:dyDescent="0.35">
      <c r="A817" s="1">
        <v>44648</v>
      </c>
      <c r="B817">
        <v>222.13000500000001</v>
      </c>
      <c r="C817">
        <v>224.03999300000001</v>
      </c>
      <c r="D817">
        <v>219.53999300000001</v>
      </c>
      <c r="E817">
        <v>223.58999600000001</v>
      </c>
      <c r="F817">
        <v>223.58999600000001</v>
      </c>
      <c r="G817">
        <v>26224100</v>
      </c>
      <c r="H817" s="2">
        <f t="shared" si="12"/>
        <v>7.9793929498883642E-3</v>
      </c>
      <c r="I817" s="2">
        <f>VLOOKUP(A817,AAPL!A:H,8,)</f>
        <v>5.0366586250192302E-3</v>
      </c>
    </row>
    <row r="818" spans="1:9" x14ac:dyDescent="0.35">
      <c r="A818" s="1">
        <v>44649</v>
      </c>
      <c r="B818">
        <v>226.070007</v>
      </c>
      <c r="C818">
        <v>230.88999899999999</v>
      </c>
      <c r="D818">
        <v>225.28999300000001</v>
      </c>
      <c r="E818">
        <v>229.86000100000001</v>
      </c>
      <c r="F818">
        <v>229.86000100000001</v>
      </c>
      <c r="G818">
        <v>31417900</v>
      </c>
      <c r="H818" s="2">
        <f t="shared" si="12"/>
        <v>2.8042421897981562E-2</v>
      </c>
      <c r="I818" s="2">
        <f>VLOOKUP(A818,AAPL!A:H,8,)</f>
        <v>1.9134401396318834E-2</v>
      </c>
    </row>
    <row r="819" spans="1:9" x14ac:dyDescent="0.35">
      <c r="A819" s="1">
        <v>44650</v>
      </c>
      <c r="B819">
        <v>228.91000399999999</v>
      </c>
      <c r="C819">
        <v>231.14999399999999</v>
      </c>
      <c r="D819">
        <v>226.71000699999999</v>
      </c>
      <c r="E819">
        <v>227.85000600000001</v>
      </c>
      <c r="F819">
        <v>227.85000600000001</v>
      </c>
      <c r="G819">
        <v>25588000</v>
      </c>
      <c r="H819" s="2">
        <f t="shared" si="12"/>
        <v>-8.7444313549793762E-3</v>
      </c>
      <c r="I819" s="2">
        <f>VLOOKUP(A819,AAPL!A:H,8,)</f>
        <v>-6.6495471247941529E-3</v>
      </c>
    </row>
    <row r="820" spans="1:9" x14ac:dyDescent="0.35">
      <c r="A820" s="1">
        <v>44651</v>
      </c>
      <c r="B820">
        <v>228.449997</v>
      </c>
      <c r="C820">
        <v>228.490005</v>
      </c>
      <c r="D820">
        <v>222.259995</v>
      </c>
      <c r="E820">
        <v>222.36000100000001</v>
      </c>
      <c r="F820">
        <v>222.36000100000001</v>
      </c>
      <c r="G820">
        <v>24192300</v>
      </c>
      <c r="H820" s="2">
        <f t="shared" si="12"/>
        <v>-2.4094820519776516E-2</v>
      </c>
      <c r="I820" s="2">
        <f>VLOOKUP(A820,AAPL!A:H,8,)</f>
        <v>-1.777579416603936E-2</v>
      </c>
    </row>
    <row r="821" spans="1:9" x14ac:dyDescent="0.35">
      <c r="A821" s="1">
        <v>44652</v>
      </c>
      <c r="B821">
        <v>224.550003</v>
      </c>
      <c r="C821">
        <v>227.279999</v>
      </c>
      <c r="D821">
        <v>222.699997</v>
      </c>
      <c r="E821">
        <v>224.85000600000001</v>
      </c>
      <c r="F821">
        <v>224.85000600000001</v>
      </c>
      <c r="G821">
        <v>19544800</v>
      </c>
      <c r="H821" s="2">
        <f t="shared" si="12"/>
        <v>1.1198079640231784E-2</v>
      </c>
      <c r="I821" s="2">
        <f>VLOOKUP(A821,AAPL!A:H,8,)</f>
        <v>-1.7181318268247869E-3</v>
      </c>
    </row>
    <row r="822" spans="1:9" x14ac:dyDescent="0.35">
      <c r="A822" s="1">
        <v>44655</v>
      </c>
      <c r="B822">
        <v>225.979996</v>
      </c>
      <c r="C822">
        <v>234.35000600000001</v>
      </c>
      <c r="D822">
        <v>225.86000100000001</v>
      </c>
      <c r="E822">
        <v>233.88999899999999</v>
      </c>
      <c r="F822">
        <v>233.88999899999999</v>
      </c>
      <c r="G822">
        <v>28054800</v>
      </c>
      <c r="H822" s="2">
        <f t="shared" si="12"/>
        <v>4.0204548626963321E-2</v>
      </c>
      <c r="I822" s="2">
        <f>VLOOKUP(A822,AAPL!A:H,8,)</f>
        <v>2.3693442988852453E-2</v>
      </c>
    </row>
    <row r="823" spans="1:9" x14ac:dyDescent="0.35">
      <c r="A823" s="1">
        <v>44656</v>
      </c>
      <c r="B823">
        <v>234.08000200000001</v>
      </c>
      <c r="C823">
        <v>236.86000100000001</v>
      </c>
      <c r="D823">
        <v>231.020004</v>
      </c>
      <c r="E823">
        <v>231.83999600000001</v>
      </c>
      <c r="F823">
        <v>231.83999600000001</v>
      </c>
      <c r="G823">
        <v>29727200</v>
      </c>
      <c r="H823" s="2">
        <f t="shared" si="12"/>
        <v>-8.7648168316935005E-3</v>
      </c>
      <c r="I823" s="2">
        <f>VLOOKUP(A823,AAPL!A:H,8,)</f>
        <v>-1.8941963472966061E-2</v>
      </c>
    </row>
    <row r="824" spans="1:9" x14ac:dyDescent="0.35">
      <c r="A824" s="1">
        <v>44657</v>
      </c>
      <c r="B824">
        <v>226.91000399999999</v>
      </c>
      <c r="C824">
        <v>228.990005</v>
      </c>
      <c r="D824">
        <v>221.41000399999999</v>
      </c>
      <c r="E824">
        <v>223.300003</v>
      </c>
      <c r="F824">
        <v>223.300003</v>
      </c>
      <c r="G824">
        <v>28995100</v>
      </c>
      <c r="H824" s="2">
        <f t="shared" si="12"/>
        <v>-3.6835719234570741E-2</v>
      </c>
      <c r="I824" s="2">
        <f>VLOOKUP(A824,AAPL!A:H,8,)</f>
        <v>-1.8450794224275091E-2</v>
      </c>
    </row>
    <row r="825" spans="1:9" x14ac:dyDescent="0.35">
      <c r="A825" s="1">
        <v>44658</v>
      </c>
      <c r="B825">
        <v>223.929993</v>
      </c>
      <c r="C825">
        <v>225.520004</v>
      </c>
      <c r="D825">
        <v>218.55999800000001</v>
      </c>
      <c r="E825">
        <v>222.949997</v>
      </c>
      <c r="F825">
        <v>222.949997</v>
      </c>
      <c r="G825">
        <v>21037200</v>
      </c>
      <c r="H825" s="2">
        <f t="shared" si="12"/>
        <v>-1.5674249677462004E-3</v>
      </c>
      <c r="I825" s="2">
        <f>VLOOKUP(A825,AAPL!A:H,8,)</f>
        <v>1.8040912319838842E-3</v>
      </c>
    </row>
    <row r="826" spans="1:9" x14ac:dyDescent="0.35">
      <c r="A826" s="1">
        <v>44659</v>
      </c>
      <c r="B826">
        <v>222.38000500000001</v>
      </c>
      <c r="C826">
        <v>225.13000500000001</v>
      </c>
      <c r="D826">
        <v>220.029999</v>
      </c>
      <c r="E826">
        <v>222.33000200000001</v>
      </c>
      <c r="F826">
        <v>222.33000200000001</v>
      </c>
      <c r="G826">
        <v>18375700</v>
      </c>
      <c r="H826" s="2">
        <f t="shared" si="12"/>
        <v>-2.7808701876770314E-3</v>
      </c>
      <c r="I826" s="2">
        <f>VLOOKUP(A826,AAPL!A:H,8,)</f>
        <v>-1.1908928848082367E-2</v>
      </c>
    </row>
    <row r="827" spans="1:9" x14ac:dyDescent="0.35">
      <c r="A827" s="1">
        <v>44662</v>
      </c>
      <c r="B827">
        <v>218.41999799999999</v>
      </c>
      <c r="C827">
        <v>220.61000100000001</v>
      </c>
      <c r="D827">
        <v>215.220001</v>
      </c>
      <c r="E827">
        <v>216.46000699999999</v>
      </c>
      <c r="F827">
        <v>216.46000699999999</v>
      </c>
      <c r="G827">
        <v>20516600</v>
      </c>
      <c r="H827" s="2">
        <f t="shared" si="12"/>
        <v>-2.6402172208859209E-2</v>
      </c>
      <c r="I827" s="2">
        <f>VLOOKUP(A827,AAPL!A:H,8,)</f>
        <v>-2.5515880428382265E-2</v>
      </c>
    </row>
    <row r="828" spans="1:9" x14ac:dyDescent="0.35">
      <c r="A828" s="1">
        <v>44663</v>
      </c>
      <c r="B828">
        <v>220.240005</v>
      </c>
      <c r="C828">
        <v>222.029999</v>
      </c>
      <c r="D828">
        <v>213.13000500000001</v>
      </c>
      <c r="E828">
        <v>214.13999899999999</v>
      </c>
      <c r="F828">
        <v>214.13999899999999</v>
      </c>
      <c r="G828">
        <v>20128800</v>
      </c>
      <c r="H828" s="2">
        <f t="shared" si="12"/>
        <v>-1.0717952161943711E-2</v>
      </c>
      <c r="I828" s="2">
        <f>VLOOKUP(A828,AAPL!A:H,8,)</f>
        <v>1.1523402714932018E-2</v>
      </c>
    </row>
    <row r="829" spans="1:9" x14ac:dyDescent="0.35">
      <c r="A829" s="1">
        <v>44664</v>
      </c>
      <c r="B829">
        <v>211.820007</v>
      </c>
      <c r="C829">
        <v>216.61000100000001</v>
      </c>
      <c r="D829">
        <v>211.33000200000001</v>
      </c>
      <c r="E829">
        <v>214.990005</v>
      </c>
      <c r="F829">
        <v>214.990005</v>
      </c>
      <c r="G829">
        <v>19231800</v>
      </c>
      <c r="H829" s="2">
        <f t="shared" si="12"/>
        <v>3.9693938730243072E-3</v>
      </c>
      <c r="I829" s="2">
        <f>VLOOKUP(A829,AAPL!A:H,8,)</f>
        <v>1.6342538080817537E-2</v>
      </c>
    </row>
    <row r="830" spans="1:9" x14ac:dyDescent="0.35">
      <c r="A830" s="1">
        <v>44665</v>
      </c>
      <c r="B830">
        <v>214.88999899999999</v>
      </c>
      <c r="C830">
        <v>214.990005</v>
      </c>
      <c r="D830">
        <v>210</v>
      </c>
      <c r="E830">
        <v>210.179993</v>
      </c>
      <c r="F830">
        <v>210.179993</v>
      </c>
      <c r="G830">
        <v>18379500</v>
      </c>
      <c r="H830" s="2">
        <f t="shared" si="12"/>
        <v>-2.2373188930341237E-2</v>
      </c>
      <c r="I830" s="2">
        <f>VLOOKUP(A830,AAPL!A:H,8,)</f>
        <v>-2.9988269835267589E-2</v>
      </c>
    </row>
    <row r="831" spans="1:9" x14ac:dyDescent="0.35">
      <c r="A831" s="1">
        <v>44669</v>
      </c>
      <c r="B831">
        <v>210</v>
      </c>
      <c r="C831">
        <v>213.38000500000001</v>
      </c>
      <c r="D831">
        <v>208.300003</v>
      </c>
      <c r="E831">
        <v>210.770004</v>
      </c>
      <c r="F831">
        <v>210.770004</v>
      </c>
      <c r="G831">
        <v>16580800</v>
      </c>
      <c r="H831" s="2">
        <f t="shared" si="12"/>
        <v>2.8071701382157421E-3</v>
      </c>
      <c r="I831" s="2">
        <f>VLOOKUP(A831,AAPL!A:H,8,)</f>
        <v>-1.3309093672718708E-3</v>
      </c>
    </row>
    <row r="832" spans="1:9" x14ac:dyDescent="0.35">
      <c r="A832" s="1">
        <v>44670</v>
      </c>
      <c r="B832">
        <v>210.520004</v>
      </c>
      <c r="C832">
        <v>218.429993</v>
      </c>
      <c r="D832">
        <v>209</v>
      </c>
      <c r="E832">
        <v>217.30999800000001</v>
      </c>
      <c r="F832">
        <v>217.30999800000001</v>
      </c>
      <c r="G832">
        <v>20089900</v>
      </c>
      <c r="H832" s="2">
        <f t="shared" si="12"/>
        <v>3.1029054779540655E-2</v>
      </c>
      <c r="I832" s="2">
        <f>VLOOKUP(A832,AAPL!A:H,8,)</f>
        <v>1.4115144491391396E-2</v>
      </c>
    </row>
    <row r="833" spans="1:9" x14ac:dyDescent="0.35">
      <c r="A833" s="1">
        <v>44671</v>
      </c>
      <c r="B833">
        <v>213.61000100000001</v>
      </c>
      <c r="C833">
        <v>214.16000399999999</v>
      </c>
      <c r="D833">
        <v>198.91999799999999</v>
      </c>
      <c r="E833">
        <v>200.41999799999999</v>
      </c>
      <c r="F833">
        <v>200.41999799999999</v>
      </c>
      <c r="G833">
        <v>43036500</v>
      </c>
      <c r="H833" s="2">
        <f t="shared" si="12"/>
        <v>-7.7723069142911716E-2</v>
      </c>
      <c r="I833" s="2">
        <f>VLOOKUP(A833,AAPL!A:H,8,)</f>
        <v>-1.0155197496601875E-3</v>
      </c>
    </row>
    <row r="834" spans="1:9" x14ac:dyDescent="0.35">
      <c r="A834" s="1">
        <v>44672</v>
      </c>
      <c r="B834">
        <v>201.60000600000001</v>
      </c>
      <c r="C834">
        <v>202.970001</v>
      </c>
      <c r="D834">
        <v>185.58000200000001</v>
      </c>
      <c r="E834">
        <v>188.070007</v>
      </c>
      <c r="F834">
        <v>188.070007</v>
      </c>
      <c r="G834">
        <v>49954100</v>
      </c>
      <c r="H834" s="2">
        <f t="shared" si="12"/>
        <v>-6.1620552456047806E-2</v>
      </c>
      <c r="I834" s="2">
        <f>VLOOKUP(A834,AAPL!A:H,8,)</f>
        <v>-4.8436166918284229E-3</v>
      </c>
    </row>
    <row r="835" spans="1:9" x14ac:dyDescent="0.35">
      <c r="A835" s="1">
        <v>44673</v>
      </c>
      <c r="B835">
        <v>190.36999499999999</v>
      </c>
      <c r="C835">
        <v>192.720001</v>
      </c>
      <c r="D835">
        <v>183.270004</v>
      </c>
      <c r="E835">
        <v>184.11000100000001</v>
      </c>
      <c r="F835">
        <v>184.11000100000001</v>
      </c>
      <c r="G835">
        <v>36426800</v>
      </c>
      <c r="H835" s="2">
        <f t="shared" si="12"/>
        <v>-2.1056020910341089E-2</v>
      </c>
      <c r="I835" s="2">
        <f>VLOOKUP(A835,AAPL!A:H,8,)</f>
        <v>-2.7821205718317477E-2</v>
      </c>
    </row>
    <row r="836" spans="1:9" x14ac:dyDescent="0.35">
      <c r="A836" s="1">
        <v>44676</v>
      </c>
      <c r="B836">
        <v>182.729996</v>
      </c>
      <c r="C836">
        <v>187.179993</v>
      </c>
      <c r="D836">
        <v>181.66000399999999</v>
      </c>
      <c r="E836">
        <v>186.990005</v>
      </c>
      <c r="F836">
        <v>186.990005</v>
      </c>
      <c r="G836">
        <v>29281100</v>
      </c>
      <c r="H836" s="2">
        <f t="shared" ref="H836:H899" si="13">E836/E835-1</f>
        <v>1.5642843867020417E-2</v>
      </c>
      <c r="I836" s="2">
        <f>VLOOKUP(A836,AAPL!A:H,8,)</f>
        <v>6.7372028380023874E-3</v>
      </c>
    </row>
    <row r="837" spans="1:9" x14ac:dyDescent="0.35">
      <c r="A837" s="1">
        <v>44677</v>
      </c>
      <c r="B837">
        <v>186.63000500000001</v>
      </c>
      <c r="C837">
        <v>187.19000199999999</v>
      </c>
      <c r="D837">
        <v>179.5</v>
      </c>
      <c r="E837">
        <v>180.949997</v>
      </c>
      <c r="F837">
        <v>180.949997</v>
      </c>
      <c r="G837">
        <v>31747400</v>
      </c>
      <c r="H837" s="2">
        <f t="shared" si="13"/>
        <v>-3.230123449646416E-2</v>
      </c>
      <c r="I837" s="2">
        <f>VLOOKUP(A837,AAPL!A:H,8,)</f>
        <v>-3.7328105435655012E-2</v>
      </c>
    </row>
    <row r="838" spans="1:9" x14ac:dyDescent="0.35">
      <c r="A838" s="1">
        <v>44678</v>
      </c>
      <c r="B838">
        <v>174.429993</v>
      </c>
      <c r="C838">
        <v>181.21000699999999</v>
      </c>
      <c r="D838">
        <v>169</v>
      </c>
      <c r="E838">
        <v>174.949997</v>
      </c>
      <c r="F838">
        <v>174.949997</v>
      </c>
      <c r="G838">
        <v>71062900</v>
      </c>
      <c r="H838" s="2">
        <f t="shared" si="13"/>
        <v>-3.3158331580408928E-2</v>
      </c>
      <c r="I838" s="2">
        <f>VLOOKUP(A838,AAPL!A:H,8,)</f>
        <v>-1.4668111964257768E-3</v>
      </c>
    </row>
    <row r="839" spans="1:9" x14ac:dyDescent="0.35">
      <c r="A839" s="1">
        <v>44679</v>
      </c>
      <c r="B839">
        <v>202.91999799999999</v>
      </c>
      <c r="C839">
        <v>208.529999</v>
      </c>
      <c r="D839">
        <v>192.89999399999999</v>
      </c>
      <c r="E839">
        <v>205.729996</v>
      </c>
      <c r="F839">
        <v>205.729996</v>
      </c>
      <c r="G839">
        <v>100890600</v>
      </c>
      <c r="H839" s="2">
        <f t="shared" si="13"/>
        <v>0.17593597901004832</v>
      </c>
      <c r="I839" s="2">
        <f>VLOOKUP(A839,AAPL!A:H,8,)</f>
        <v>4.515546837779727E-2</v>
      </c>
    </row>
    <row r="840" spans="1:9" x14ac:dyDescent="0.35">
      <c r="A840" s="1">
        <v>44680</v>
      </c>
      <c r="B840">
        <v>204.46000699999999</v>
      </c>
      <c r="C840">
        <v>212.479996</v>
      </c>
      <c r="D840">
        <v>199.89999399999999</v>
      </c>
      <c r="E840">
        <v>200.470001</v>
      </c>
      <c r="F840">
        <v>200.470001</v>
      </c>
      <c r="G840">
        <v>49193400</v>
      </c>
      <c r="H840" s="2">
        <f t="shared" si="13"/>
        <v>-2.5567467565595026E-2</v>
      </c>
      <c r="I840" s="2">
        <f>VLOOKUP(A840,AAPL!A:H,8,)</f>
        <v>-3.6604772895409199E-2</v>
      </c>
    </row>
    <row r="841" spans="1:9" x14ac:dyDescent="0.35">
      <c r="A841" s="1">
        <v>44683</v>
      </c>
      <c r="B841">
        <v>201.16999799999999</v>
      </c>
      <c r="C841">
        <v>211.88000500000001</v>
      </c>
      <c r="D841">
        <v>200.990005</v>
      </c>
      <c r="E841">
        <v>211.13000500000001</v>
      </c>
      <c r="F841">
        <v>211.13000500000001</v>
      </c>
      <c r="G841">
        <v>49915300</v>
      </c>
      <c r="H841" s="2">
        <f t="shared" si="13"/>
        <v>5.3175058347009418E-2</v>
      </c>
      <c r="I841" s="2">
        <f>VLOOKUP(A841,AAPL!A:H,8,)</f>
        <v>1.9664637602205826E-3</v>
      </c>
    </row>
    <row r="842" spans="1:9" x14ac:dyDescent="0.35">
      <c r="A842" s="1">
        <v>44684</v>
      </c>
      <c r="B842">
        <v>210.449997</v>
      </c>
      <c r="C842">
        <v>214.89999399999999</v>
      </c>
      <c r="D842">
        <v>208.08999600000001</v>
      </c>
      <c r="E842">
        <v>212.029999</v>
      </c>
      <c r="F842">
        <v>212.029999</v>
      </c>
      <c r="G842">
        <v>41556300</v>
      </c>
      <c r="H842" s="2">
        <f t="shared" si="13"/>
        <v>4.2627479689587577E-3</v>
      </c>
      <c r="I842" s="2">
        <f>VLOOKUP(A842,AAPL!A:H,8,)</f>
        <v>9.6226192241180009E-3</v>
      </c>
    </row>
    <row r="843" spans="1:9" x14ac:dyDescent="0.35">
      <c r="A843" s="1">
        <v>44685</v>
      </c>
      <c r="B843">
        <v>210.64999399999999</v>
      </c>
      <c r="C843">
        <v>224.300003</v>
      </c>
      <c r="D843">
        <v>206.96000699999999</v>
      </c>
      <c r="E843">
        <v>223.41000399999999</v>
      </c>
      <c r="F843">
        <v>223.41000399999999</v>
      </c>
      <c r="G843">
        <v>41375900</v>
      </c>
      <c r="H843" s="2">
        <f t="shared" si="13"/>
        <v>5.3671674072874875E-2</v>
      </c>
      <c r="I843" s="2">
        <f>VLOOKUP(A843,AAPL!A:H,8,)</f>
        <v>4.1008328091505675E-2</v>
      </c>
    </row>
    <row r="844" spans="1:9" x14ac:dyDescent="0.35">
      <c r="A844" s="1">
        <v>44686</v>
      </c>
      <c r="B844">
        <v>218.740005</v>
      </c>
      <c r="C844">
        <v>220.16999799999999</v>
      </c>
      <c r="D844">
        <v>206.16000399999999</v>
      </c>
      <c r="E844">
        <v>208.279999</v>
      </c>
      <c r="F844">
        <v>208.279999</v>
      </c>
      <c r="G844">
        <v>41129200</v>
      </c>
      <c r="H844" s="2">
        <f t="shared" si="13"/>
        <v>-6.7723041623507507E-2</v>
      </c>
      <c r="I844" s="2">
        <f>VLOOKUP(A844,AAPL!A:H,8,)</f>
        <v>-5.5716177431245018E-2</v>
      </c>
    </row>
    <row r="845" spans="1:9" x14ac:dyDescent="0.35">
      <c r="A845" s="1">
        <v>44687</v>
      </c>
      <c r="B845">
        <v>207.33999600000001</v>
      </c>
      <c r="C845">
        <v>209.38000500000001</v>
      </c>
      <c r="D845">
        <v>201.020004</v>
      </c>
      <c r="E845">
        <v>203.770004</v>
      </c>
      <c r="F845">
        <v>203.770004</v>
      </c>
      <c r="G845">
        <v>34747200</v>
      </c>
      <c r="H845" s="2">
        <f t="shared" si="13"/>
        <v>-2.1653519404904564E-2</v>
      </c>
      <c r="I845" s="2">
        <f>VLOOKUP(A845,AAPL!A:H,8,)</f>
        <v>3.2531414619343391E-3</v>
      </c>
    </row>
    <row r="846" spans="1:9" x14ac:dyDescent="0.35">
      <c r="A846" s="1">
        <v>44690</v>
      </c>
      <c r="B846">
        <v>199.83999600000001</v>
      </c>
      <c r="C846">
        <v>202.570007</v>
      </c>
      <c r="D846">
        <v>195.58000200000001</v>
      </c>
      <c r="E846">
        <v>196.21000699999999</v>
      </c>
      <c r="F846">
        <v>196.21000699999999</v>
      </c>
      <c r="G846">
        <v>36303200</v>
      </c>
      <c r="H846" s="2">
        <f t="shared" si="13"/>
        <v>-3.7100637245902068E-2</v>
      </c>
      <c r="I846" s="2">
        <f>VLOOKUP(A846,AAPL!A:H,8,)</f>
        <v>-3.3189223252728994E-2</v>
      </c>
    </row>
    <row r="847" spans="1:9" x14ac:dyDescent="0.35">
      <c r="A847" s="1">
        <v>44691</v>
      </c>
      <c r="B847">
        <v>199.509995</v>
      </c>
      <c r="C847">
        <v>202.96000699999999</v>
      </c>
      <c r="D847">
        <v>194.19000199999999</v>
      </c>
      <c r="E847">
        <v>197.64999399999999</v>
      </c>
      <c r="F847">
        <v>197.64999399999999</v>
      </c>
      <c r="G847">
        <v>34452500</v>
      </c>
      <c r="H847" s="2">
        <f t="shared" si="13"/>
        <v>7.3390089629832289E-3</v>
      </c>
      <c r="I847" s="2">
        <f>VLOOKUP(A847,AAPL!A:H,8,)</f>
        <v>1.6112041511403996E-2</v>
      </c>
    </row>
    <row r="848" spans="1:9" x14ac:dyDescent="0.35">
      <c r="A848" s="1">
        <v>44692</v>
      </c>
      <c r="B848">
        <v>196.33000200000001</v>
      </c>
      <c r="C848">
        <v>200.66999799999999</v>
      </c>
      <c r="D848">
        <v>188.270004</v>
      </c>
      <c r="E848">
        <v>188.740005</v>
      </c>
      <c r="F848">
        <v>188.740005</v>
      </c>
      <c r="G848">
        <v>31153400</v>
      </c>
      <c r="H848" s="2">
        <f t="shared" si="13"/>
        <v>-4.5079632028726446E-2</v>
      </c>
      <c r="I848" s="2">
        <f>VLOOKUP(A848,AAPL!A:H,8,)</f>
        <v>-5.1841274087155331E-2</v>
      </c>
    </row>
    <row r="849" spans="1:9" x14ac:dyDescent="0.35">
      <c r="A849" s="1">
        <v>44693</v>
      </c>
      <c r="B849">
        <v>187.05999800000001</v>
      </c>
      <c r="C849">
        <v>198.050003</v>
      </c>
      <c r="D849">
        <v>184.779999</v>
      </c>
      <c r="E849">
        <v>191.240005</v>
      </c>
      <c r="F849">
        <v>191.240005</v>
      </c>
      <c r="G849">
        <v>38262200</v>
      </c>
      <c r="H849" s="2">
        <f t="shared" si="13"/>
        <v>1.3245734522471908E-2</v>
      </c>
      <c r="I849" s="2">
        <f>VLOOKUP(A849,AAPL!A:H,8,)</f>
        <v>-2.6894211604095553E-2</v>
      </c>
    </row>
    <row r="850" spans="1:9" x14ac:dyDescent="0.35">
      <c r="A850" s="1">
        <v>44694</v>
      </c>
      <c r="B850">
        <v>192.58000200000001</v>
      </c>
      <c r="C850">
        <v>199.88999899999999</v>
      </c>
      <c r="D850">
        <v>191.279999</v>
      </c>
      <c r="E850">
        <v>198.61999499999999</v>
      </c>
      <c r="F850">
        <v>198.61999499999999</v>
      </c>
      <c r="G850">
        <v>24549800</v>
      </c>
      <c r="H850" s="2">
        <f t="shared" si="13"/>
        <v>3.8590199785865975E-2</v>
      </c>
      <c r="I850" s="2">
        <f>VLOOKUP(A850,AAPL!A:H,8,)</f>
        <v>3.1916407574584804E-2</v>
      </c>
    </row>
    <row r="851" spans="1:9" x14ac:dyDescent="0.35">
      <c r="A851" s="1">
        <v>44697</v>
      </c>
      <c r="B851">
        <v>197.050003</v>
      </c>
      <c r="C851">
        <v>205.36999499999999</v>
      </c>
      <c r="D851">
        <v>195.929993</v>
      </c>
      <c r="E851">
        <v>200.03999300000001</v>
      </c>
      <c r="F851">
        <v>200.03999300000001</v>
      </c>
      <c r="G851">
        <v>27112600</v>
      </c>
      <c r="H851" s="2">
        <f t="shared" si="13"/>
        <v>7.1493204901149632E-3</v>
      </c>
      <c r="I851" s="2">
        <f>VLOOKUP(A851,AAPL!A:H,8,)</f>
        <v>-1.0672340352985255E-2</v>
      </c>
    </row>
    <row r="852" spans="1:9" x14ac:dyDescent="0.35">
      <c r="A852" s="1">
        <v>44698</v>
      </c>
      <c r="B852">
        <v>202.11999499999999</v>
      </c>
      <c r="C852">
        <v>205.46000699999999</v>
      </c>
      <c r="D852">
        <v>198.36000100000001</v>
      </c>
      <c r="E852">
        <v>202.61999499999999</v>
      </c>
      <c r="F852">
        <v>202.61999499999999</v>
      </c>
      <c r="G852">
        <v>24872700</v>
      </c>
      <c r="H852" s="2">
        <f t="shared" si="13"/>
        <v>1.2897430965217005E-2</v>
      </c>
      <c r="I852" s="2">
        <f>VLOOKUP(A852,AAPL!A:H,8,)</f>
        <v>2.5422647917813013E-2</v>
      </c>
    </row>
    <row r="853" spans="1:9" x14ac:dyDescent="0.35">
      <c r="A853" s="1">
        <v>44699</v>
      </c>
      <c r="B853">
        <v>200</v>
      </c>
      <c r="C853">
        <v>201</v>
      </c>
      <c r="D853">
        <v>191.63000500000001</v>
      </c>
      <c r="E853">
        <v>192.240005</v>
      </c>
      <c r="F853">
        <v>192.240005</v>
      </c>
      <c r="G853">
        <v>23960000</v>
      </c>
      <c r="H853" s="2">
        <f t="shared" si="13"/>
        <v>-5.1228853302459076E-2</v>
      </c>
      <c r="I853" s="2">
        <f>VLOOKUP(A853,AAPL!A:H,8,)</f>
        <v>-5.64191752740828E-2</v>
      </c>
    </row>
    <row r="854" spans="1:9" x14ac:dyDescent="0.35">
      <c r="A854" s="1">
        <v>44700</v>
      </c>
      <c r="B854">
        <v>191.199997</v>
      </c>
      <c r="C854">
        <v>195.28999300000001</v>
      </c>
      <c r="D854">
        <v>189.60000600000001</v>
      </c>
      <c r="E854">
        <v>191.28999300000001</v>
      </c>
      <c r="F854">
        <v>191.28999300000001</v>
      </c>
      <c r="G854">
        <v>24446900</v>
      </c>
      <c r="H854" s="2">
        <f t="shared" si="13"/>
        <v>-4.9418017857416618E-3</v>
      </c>
      <c r="I854" s="2">
        <f>VLOOKUP(A854,AAPL!A:H,8,)</f>
        <v>-2.4641392043106447E-2</v>
      </c>
    </row>
    <row r="855" spans="1:9" x14ac:dyDescent="0.35">
      <c r="A855" s="1">
        <v>44701</v>
      </c>
      <c r="B855">
        <v>194.970001</v>
      </c>
      <c r="C855">
        <v>197.91000399999999</v>
      </c>
      <c r="D855">
        <v>187.86999499999999</v>
      </c>
      <c r="E855">
        <v>193.53999300000001</v>
      </c>
      <c r="F855">
        <v>193.53999300000001</v>
      </c>
      <c r="G855">
        <v>31465600</v>
      </c>
      <c r="H855" s="2">
        <f t="shared" si="13"/>
        <v>1.1762246235222484E-2</v>
      </c>
      <c r="I855" s="2">
        <f>VLOOKUP(A855,AAPL!A:H,8,)</f>
        <v>1.747287874162895E-3</v>
      </c>
    </row>
    <row r="856" spans="1:9" x14ac:dyDescent="0.35">
      <c r="A856" s="1">
        <v>44704</v>
      </c>
      <c r="B856">
        <v>195.19000199999999</v>
      </c>
      <c r="C856">
        <v>196.990005</v>
      </c>
      <c r="D856">
        <v>191.240005</v>
      </c>
      <c r="E856">
        <v>196.229996</v>
      </c>
      <c r="F856">
        <v>196.229996</v>
      </c>
      <c r="G856">
        <v>25059200</v>
      </c>
      <c r="H856" s="2">
        <f t="shared" si="13"/>
        <v>1.3898951623915634E-2</v>
      </c>
      <c r="I856" s="2">
        <f>VLOOKUP(A856,AAPL!A:H,8,)</f>
        <v>4.0119232215109601E-2</v>
      </c>
    </row>
    <row r="857" spans="1:9" x14ac:dyDescent="0.35">
      <c r="A857" s="1">
        <v>44705</v>
      </c>
      <c r="B857">
        <v>180.550003</v>
      </c>
      <c r="C857">
        <v>183.679993</v>
      </c>
      <c r="D857">
        <v>176.11000100000001</v>
      </c>
      <c r="E857">
        <v>181.279999</v>
      </c>
      <c r="F857">
        <v>181.279999</v>
      </c>
      <c r="G857">
        <v>50406300</v>
      </c>
      <c r="H857" s="2">
        <f t="shared" si="13"/>
        <v>-7.6186094403222659E-2</v>
      </c>
      <c r="I857" s="2">
        <f>VLOOKUP(A857,AAPL!A:H,8,)</f>
        <v>-1.9215987567493653E-2</v>
      </c>
    </row>
    <row r="858" spans="1:9" x14ac:dyDescent="0.35">
      <c r="A858" s="1">
        <v>44706</v>
      </c>
      <c r="B858">
        <v>180.39999399999999</v>
      </c>
      <c r="C858">
        <v>185.449997</v>
      </c>
      <c r="D858">
        <v>179.320007</v>
      </c>
      <c r="E858">
        <v>183.83000200000001</v>
      </c>
      <c r="F858">
        <v>183.83000200000001</v>
      </c>
      <c r="G858">
        <v>28030200</v>
      </c>
      <c r="H858" s="2">
        <f t="shared" si="13"/>
        <v>1.4066653872830237E-2</v>
      </c>
      <c r="I858" s="2">
        <f>VLOOKUP(A858,AAPL!A:H,8,)</f>
        <v>1.1399472703053082E-3</v>
      </c>
    </row>
    <row r="859" spans="1:9" x14ac:dyDescent="0.35">
      <c r="A859" s="1">
        <v>44707</v>
      </c>
      <c r="B859">
        <v>182.88000500000001</v>
      </c>
      <c r="C859">
        <v>192.83000200000001</v>
      </c>
      <c r="D859">
        <v>182.259995</v>
      </c>
      <c r="E859">
        <v>191.63000500000001</v>
      </c>
      <c r="F859">
        <v>191.63000500000001</v>
      </c>
      <c r="G859">
        <v>23056500</v>
      </c>
      <c r="H859" s="2">
        <f t="shared" si="13"/>
        <v>4.243052230397093E-2</v>
      </c>
      <c r="I859" s="2">
        <f>VLOOKUP(A859,AAPL!A:H,8,)</f>
        <v>2.3199508306305017E-2</v>
      </c>
    </row>
    <row r="860" spans="1:9" x14ac:dyDescent="0.35">
      <c r="A860" s="1">
        <v>44708</v>
      </c>
      <c r="B860">
        <v>191.36000100000001</v>
      </c>
      <c r="C860">
        <v>195.33000200000001</v>
      </c>
      <c r="D860">
        <v>189.800003</v>
      </c>
      <c r="E860">
        <v>195.13000500000001</v>
      </c>
      <c r="F860">
        <v>195.13000500000001</v>
      </c>
      <c r="G860">
        <v>22562700</v>
      </c>
      <c r="H860" s="2">
        <f t="shared" si="13"/>
        <v>1.8264363140834794E-2</v>
      </c>
      <c r="I860" s="2">
        <f>VLOOKUP(A860,AAPL!A:H,8,)</f>
        <v>4.0756711926253297E-2</v>
      </c>
    </row>
    <row r="861" spans="1:9" x14ac:dyDescent="0.35">
      <c r="A861" s="1">
        <v>44712</v>
      </c>
      <c r="B861">
        <v>194.88999899999999</v>
      </c>
      <c r="C861">
        <v>197.60000600000001</v>
      </c>
      <c r="D861">
        <v>192.009995</v>
      </c>
      <c r="E861">
        <v>193.63999899999999</v>
      </c>
      <c r="F861">
        <v>193.63999899999999</v>
      </c>
      <c r="G861">
        <v>26131100</v>
      </c>
      <c r="H861" s="2">
        <f t="shared" si="13"/>
        <v>-7.6359655707487484E-3</v>
      </c>
      <c r="I861" s="2">
        <f>VLOOKUP(A861,AAPL!A:H,8,)</f>
        <v>-5.3461842110810176E-3</v>
      </c>
    </row>
    <row r="862" spans="1:9" x14ac:dyDescent="0.35">
      <c r="A862" s="1">
        <v>44713</v>
      </c>
      <c r="B862">
        <v>196.509995</v>
      </c>
      <c r="C862">
        <v>199.529999</v>
      </c>
      <c r="D862">
        <v>185</v>
      </c>
      <c r="E862">
        <v>188.63999899999999</v>
      </c>
      <c r="F862">
        <v>188.63999899999999</v>
      </c>
      <c r="G862">
        <v>36623500</v>
      </c>
      <c r="H862" s="2">
        <f t="shared" si="13"/>
        <v>-2.5821111473978031E-2</v>
      </c>
      <c r="I862" s="2">
        <f>VLOOKUP(A862,AAPL!A:H,8,)</f>
        <v>-8.7334724196053148E-4</v>
      </c>
    </row>
    <row r="863" spans="1:9" x14ac:dyDescent="0.35">
      <c r="A863" s="1">
        <v>44714</v>
      </c>
      <c r="B863">
        <v>188.449997</v>
      </c>
      <c r="C863">
        <v>200.94000199999999</v>
      </c>
      <c r="D863">
        <v>187.729996</v>
      </c>
      <c r="E863">
        <v>198.86000100000001</v>
      </c>
      <c r="F863">
        <v>198.86000100000001</v>
      </c>
      <c r="G863">
        <v>31951600</v>
      </c>
      <c r="H863" s="2">
        <f t="shared" si="13"/>
        <v>5.4177279761330022E-2</v>
      </c>
      <c r="I863" s="2">
        <f>VLOOKUP(A863,AAPL!A:H,8,)</f>
        <v>1.6811242568228746E-2</v>
      </c>
    </row>
    <row r="864" spans="1:9" x14ac:dyDescent="0.35">
      <c r="A864" s="1">
        <v>44715</v>
      </c>
      <c r="B864">
        <v>195.979996</v>
      </c>
      <c r="C864">
        <v>196.61000100000001</v>
      </c>
      <c r="D864">
        <v>189.779999</v>
      </c>
      <c r="E864">
        <v>190.779999</v>
      </c>
      <c r="F864">
        <v>190.779999</v>
      </c>
      <c r="G864">
        <v>19465000</v>
      </c>
      <c r="H864" s="2">
        <f t="shared" si="13"/>
        <v>-4.0631609973692084E-2</v>
      </c>
      <c r="I864" s="2">
        <f>VLOOKUP(A864,AAPL!A:H,8,)</f>
        <v>-3.855566252304965E-2</v>
      </c>
    </row>
    <row r="865" spans="1:9" x14ac:dyDescent="0.35">
      <c r="A865" s="1">
        <v>44718</v>
      </c>
      <c r="B865">
        <v>193.990005</v>
      </c>
      <c r="C865">
        <v>196.91999799999999</v>
      </c>
      <c r="D865">
        <v>188.39999399999999</v>
      </c>
      <c r="E865">
        <v>194.25</v>
      </c>
      <c r="F865">
        <v>194.25</v>
      </c>
      <c r="G865">
        <v>30574200</v>
      </c>
      <c r="H865" s="2">
        <f t="shared" si="13"/>
        <v>1.8188494696448787E-2</v>
      </c>
      <c r="I865" s="2">
        <f>VLOOKUP(A865,AAPL!A:H,8,)</f>
        <v>5.2276377346387459E-3</v>
      </c>
    </row>
    <row r="866" spans="1:9" x14ac:dyDescent="0.35">
      <c r="A866" s="1">
        <v>44719</v>
      </c>
      <c r="B866">
        <v>191.929993</v>
      </c>
      <c r="C866">
        <v>196.529999</v>
      </c>
      <c r="D866">
        <v>191.490005</v>
      </c>
      <c r="E866">
        <v>195.64999399999999</v>
      </c>
      <c r="F866">
        <v>195.64999399999999</v>
      </c>
      <c r="G866">
        <v>18828700</v>
      </c>
      <c r="H866" s="2">
        <f t="shared" si="13"/>
        <v>7.2071763191763338E-3</v>
      </c>
      <c r="I866" s="2">
        <f>VLOOKUP(A866,AAPL!A:H,8,)</f>
        <v>1.7585931419090928E-2</v>
      </c>
    </row>
    <row r="867" spans="1:9" x14ac:dyDescent="0.35">
      <c r="A867" s="1">
        <v>44720</v>
      </c>
      <c r="B867">
        <v>194.66999799999999</v>
      </c>
      <c r="C867">
        <v>202.029999</v>
      </c>
      <c r="D867">
        <v>194.41000399999999</v>
      </c>
      <c r="E867">
        <v>196.63999899999999</v>
      </c>
      <c r="F867">
        <v>196.63999899999999</v>
      </c>
      <c r="G867">
        <v>22267200</v>
      </c>
      <c r="H867" s="2">
        <f t="shared" si="13"/>
        <v>5.0600819338639802E-3</v>
      </c>
      <c r="I867" s="2">
        <f>VLOOKUP(A867,AAPL!A:H,8,)</f>
        <v>-5.0433727704686238E-3</v>
      </c>
    </row>
    <row r="868" spans="1:9" x14ac:dyDescent="0.35">
      <c r="A868" s="1">
        <v>44721</v>
      </c>
      <c r="B868">
        <v>194.279999</v>
      </c>
      <c r="C868">
        <v>199.449997</v>
      </c>
      <c r="D868">
        <v>183.679993</v>
      </c>
      <c r="E868">
        <v>184</v>
      </c>
      <c r="F868">
        <v>184</v>
      </c>
      <c r="G868">
        <v>23501600</v>
      </c>
      <c r="H868" s="2">
        <f t="shared" si="13"/>
        <v>-6.4279897601097868E-2</v>
      </c>
      <c r="I868" s="2">
        <f>VLOOKUP(A868,AAPL!A:H,8,)</f>
        <v>-3.5955716060489196E-2</v>
      </c>
    </row>
    <row r="869" spans="1:9" x14ac:dyDescent="0.35">
      <c r="A869" s="1">
        <v>44722</v>
      </c>
      <c r="B869">
        <v>183.03999300000001</v>
      </c>
      <c r="C869">
        <v>183.10000600000001</v>
      </c>
      <c r="D869">
        <v>175.020004</v>
      </c>
      <c r="E869">
        <v>175.570007</v>
      </c>
      <c r="F869">
        <v>175.570007</v>
      </c>
      <c r="G869">
        <v>27450800</v>
      </c>
      <c r="H869" s="2">
        <f t="shared" si="13"/>
        <v>-4.5815179347826085E-2</v>
      </c>
      <c r="I869" s="2">
        <f>VLOOKUP(A869,AAPL!A:H,8,)</f>
        <v>-3.8628673854659623E-2</v>
      </c>
    </row>
    <row r="870" spans="1:9" x14ac:dyDescent="0.35">
      <c r="A870" s="1">
        <v>44725</v>
      </c>
      <c r="B870">
        <v>170.58999600000001</v>
      </c>
      <c r="C870">
        <v>172.58000200000001</v>
      </c>
      <c r="D870">
        <v>164.029999</v>
      </c>
      <c r="E870">
        <v>164.259995</v>
      </c>
      <c r="F870">
        <v>164.259995</v>
      </c>
      <c r="G870">
        <v>31749300</v>
      </c>
      <c r="H870" s="2">
        <f t="shared" si="13"/>
        <v>-6.4418816136403101E-2</v>
      </c>
      <c r="I870" s="2">
        <f>VLOOKUP(A870,AAPL!A:H,8,)</f>
        <v>-3.8284837807743055E-2</v>
      </c>
    </row>
    <row r="871" spans="1:9" x14ac:dyDescent="0.35">
      <c r="A871" s="1">
        <v>44726</v>
      </c>
      <c r="B871">
        <v>166.029999</v>
      </c>
      <c r="C871">
        <v>166.75</v>
      </c>
      <c r="D871">
        <v>161.36000100000001</v>
      </c>
      <c r="E871">
        <v>163.729996</v>
      </c>
      <c r="F871">
        <v>163.729996</v>
      </c>
      <c r="G871">
        <v>27244300</v>
      </c>
      <c r="H871" s="2">
        <f t="shared" si="13"/>
        <v>-3.2265859986176926E-3</v>
      </c>
      <c r="I871" s="2">
        <f>VLOOKUP(A871,AAPL!A:H,8,)</f>
        <v>6.6726567078914112E-3</v>
      </c>
    </row>
    <row r="872" spans="1:9" x14ac:dyDescent="0.35">
      <c r="A872" s="1">
        <v>44727</v>
      </c>
      <c r="B872">
        <v>167.199997</v>
      </c>
      <c r="C872">
        <v>172.16000399999999</v>
      </c>
      <c r="D872">
        <v>163.979996</v>
      </c>
      <c r="E872">
        <v>169.35000600000001</v>
      </c>
      <c r="F872">
        <v>169.35000600000001</v>
      </c>
      <c r="G872">
        <v>30008300</v>
      </c>
      <c r="H872" s="2">
        <f t="shared" si="13"/>
        <v>3.4324864944112132E-2</v>
      </c>
      <c r="I872" s="2">
        <f>VLOOKUP(A872,AAPL!A:H,8,)</f>
        <v>2.0111465053911592E-2</v>
      </c>
    </row>
    <row r="873" spans="1:9" x14ac:dyDescent="0.35">
      <c r="A873" s="1">
        <v>44728</v>
      </c>
      <c r="B873">
        <v>163.720001</v>
      </c>
      <c r="C873">
        <v>165.08000200000001</v>
      </c>
      <c r="D873">
        <v>159.61000100000001</v>
      </c>
      <c r="E873">
        <v>160.86999499999999</v>
      </c>
      <c r="F873">
        <v>160.86999499999999</v>
      </c>
      <c r="G873">
        <v>26944100</v>
      </c>
      <c r="H873" s="2">
        <f t="shared" si="13"/>
        <v>-5.0073874812853636E-2</v>
      </c>
      <c r="I873" s="2">
        <f>VLOOKUP(A873,AAPL!A:H,8,)</f>
        <v>-3.9651445599646395E-2</v>
      </c>
    </row>
    <row r="874" spans="1:9" x14ac:dyDescent="0.35">
      <c r="A874" s="1">
        <v>44729</v>
      </c>
      <c r="B874">
        <v>161.679993</v>
      </c>
      <c r="C874">
        <v>165.89999399999999</v>
      </c>
      <c r="D874">
        <v>159.89999399999999</v>
      </c>
      <c r="E874">
        <v>163.740005</v>
      </c>
      <c r="F874">
        <v>163.740005</v>
      </c>
      <c r="G874">
        <v>31374200</v>
      </c>
      <c r="H874" s="2">
        <f t="shared" si="13"/>
        <v>1.7840555039490225E-2</v>
      </c>
      <c r="I874" s="2">
        <f>VLOOKUP(A874,AAPL!A:H,8,)</f>
        <v>1.1533138728788916E-2</v>
      </c>
    </row>
    <row r="875" spans="1:9" x14ac:dyDescent="0.35">
      <c r="A875" s="1">
        <v>44733</v>
      </c>
      <c r="B875">
        <v>165.929993</v>
      </c>
      <c r="C875">
        <v>167.759995</v>
      </c>
      <c r="D875">
        <v>155.970001</v>
      </c>
      <c r="E875">
        <v>157.050003</v>
      </c>
      <c r="F875">
        <v>157.050003</v>
      </c>
      <c r="G875">
        <v>50724900</v>
      </c>
      <c r="H875" s="2">
        <f t="shared" si="13"/>
        <v>-4.0857467910789369E-2</v>
      </c>
      <c r="I875" s="2">
        <f>VLOOKUP(A875,AAPL!A:H,8,)</f>
        <v>3.2760695238076787E-2</v>
      </c>
    </row>
    <row r="876" spans="1:9" x14ac:dyDescent="0.35">
      <c r="A876" s="1">
        <v>44734</v>
      </c>
      <c r="B876">
        <v>158.38000500000001</v>
      </c>
      <c r="C876">
        <v>160.78999300000001</v>
      </c>
      <c r="D876">
        <v>155.44000199999999</v>
      </c>
      <c r="E876">
        <v>155.85000600000001</v>
      </c>
      <c r="F876">
        <v>155.85000600000001</v>
      </c>
      <c r="G876">
        <v>47267800</v>
      </c>
      <c r="H876" s="2">
        <f t="shared" si="13"/>
        <v>-7.6408594528966089E-3</v>
      </c>
      <c r="I876" s="2">
        <f>VLOOKUP(A876,AAPL!A:H,8,)</f>
        <v>-3.8271069340951591E-3</v>
      </c>
    </row>
    <row r="877" spans="1:9" x14ac:dyDescent="0.35">
      <c r="A877" s="1">
        <v>44735</v>
      </c>
      <c r="B877">
        <v>156.270004</v>
      </c>
      <c r="C877">
        <v>159.75</v>
      </c>
      <c r="D877">
        <v>154.25</v>
      </c>
      <c r="E877">
        <v>158.75</v>
      </c>
      <c r="F877">
        <v>158.75</v>
      </c>
      <c r="G877">
        <v>40499200</v>
      </c>
      <c r="H877" s="2">
        <f t="shared" si="13"/>
        <v>1.8607596332078424E-2</v>
      </c>
      <c r="I877" s="2">
        <f>VLOOKUP(A877,AAPL!A:H,8,)</f>
        <v>2.1573682087609125E-2</v>
      </c>
    </row>
    <row r="878" spans="1:9" x14ac:dyDescent="0.35">
      <c r="A878" s="1">
        <v>44736</v>
      </c>
      <c r="B878">
        <v>161.729996</v>
      </c>
      <c r="C878">
        <v>170.25</v>
      </c>
      <c r="D878">
        <v>161.300003</v>
      </c>
      <c r="E878">
        <v>170.16000399999999</v>
      </c>
      <c r="F878">
        <v>170.16000399999999</v>
      </c>
      <c r="G878">
        <v>68736000</v>
      </c>
      <c r="H878" s="2">
        <f t="shared" si="13"/>
        <v>7.1874040944881701E-2</v>
      </c>
      <c r="I878" s="2">
        <f>VLOOKUP(A878,AAPL!A:H,8,)</f>
        <v>2.4517248151666893E-2</v>
      </c>
    </row>
    <row r="879" spans="1:9" x14ac:dyDescent="0.35">
      <c r="A879" s="1">
        <v>44739</v>
      </c>
      <c r="B879">
        <v>171.320007</v>
      </c>
      <c r="C879">
        <v>171.75</v>
      </c>
      <c r="D879">
        <v>168.009995</v>
      </c>
      <c r="E879">
        <v>169.490005</v>
      </c>
      <c r="F879">
        <v>169.490005</v>
      </c>
      <c r="G879">
        <v>29174600</v>
      </c>
      <c r="H879" s="2">
        <f t="shared" si="13"/>
        <v>-3.9374646465099028E-3</v>
      </c>
      <c r="I879" s="2">
        <f>VLOOKUP(A879,AAPL!A:H,8,)</f>
        <v>0</v>
      </c>
    </row>
    <row r="880" spans="1:9" x14ac:dyDescent="0.35">
      <c r="A880" s="1">
        <v>44740</v>
      </c>
      <c r="B880">
        <v>169.89999399999999</v>
      </c>
      <c r="C880">
        <v>171.300003</v>
      </c>
      <c r="D880">
        <v>160.61000100000001</v>
      </c>
      <c r="E880">
        <v>160.679993</v>
      </c>
      <c r="F880">
        <v>160.679993</v>
      </c>
      <c r="G880">
        <v>27744500</v>
      </c>
      <c r="H880" s="2">
        <f t="shared" si="13"/>
        <v>-5.197953708243741E-2</v>
      </c>
      <c r="I880" s="2">
        <f>VLOOKUP(A880,AAPL!A:H,8,)</f>
        <v>-2.9789650436548021E-2</v>
      </c>
    </row>
    <row r="881" spans="1:9" x14ac:dyDescent="0.35">
      <c r="A881" s="1">
        <v>44741</v>
      </c>
      <c r="B881">
        <v>163.570007</v>
      </c>
      <c r="C881">
        <v>166.33000200000001</v>
      </c>
      <c r="D881">
        <v>160.320007</v>
      </c>
      <c r="E881">
        <v>163.94000199999999</v>
      </c>
      <c r="F881">
        <v>163.94000199999999</v>
      </c>
      <c r="G881">
        <v>28595200</v>
      </c>
      <c r="H881" s="2">
        <f t="shared" si="13"/>
        <v>2.0288829611786241E-2</v>
      </c>
      <c r="I881" s="2">
        <f>VLOOKUP(A881,AAPL!A:H,8,)</f>
        <v>1.3023821114321654E-2</v>
      </c>
    </row>
    <row r="882" spans="1:9" x14ac:dyDescent="0.35">
      <c r="A882" s="1">
        <v>44742</v>
      </c>
      <c r="B882">
        <v>162.14999399999999</v>
      </c>
      <c r="C882">
        <v>165.229996</v>
      </c>
      <c r="D882">
        <v>158.490005</v>
      </c>
      <c r="E882">
        <v>161.25</v>
      </c>
      <c r="F882">
        <v>161.25</v>
      </c>
      <c r="G882">
        <v>35250600</v>
      </c>
      <c r="H882" s="2">
        <f t="shared" si="13"/>
        <v>-1.6408454112377013E-2</v>
      </c>
      <c r="I882" s="2">
        <f>VLOOKUP(A882,AAPL!A:H,8,)</f>
        <v>-1.8027688516201623E-2</v>
      </c>
    </row>
    <row r="883" spans="1:9" x14ac:dyDescent="0.35">
      <c r="A883" s="1">
        <v>44743</v>
      </c>
      <c r="B883">
        <v>160.30999800000001</v>
      </c>
      <c r="C883">
        <v>160.61999499999999</v>
      </c>
      <c r="D883">
        <v>155</v>
      </c>
      <c r="E883">
        <v>160.029999</v>
      </c>
      <c r="F883">
        <v>160.029999</v>
      </c>
      <c r="G883">
        <v>31423900</v>
      </c>
      <c r="H883" s="2">
        <f t="shared" si="13"/>
        <v>-7.5658976744186202E-3</v>
      </c>
      <c r="I883" s="2">
        <f>VLOOKUP(A883,AAPL!A:H,8,)</f>
        <v>1.6164365007574899E-2</v>
      </c>
    </row>
    <row r="884" spans="1:9" x14ac:dyDescent="0.35">
      <c r="A884" s="1">
        <v>44747</v>
      </c>
      <c r="B884">
        <v>158.13999899999999</v>
      </c>
      <c r="C884">
        <v>168.25</v>
      </c>
      <c r="D884">
        <v>157.020004</v>
      </c>
      <c r="E884">
        <v>168.19000199999999</v>
      </c>
      <c r="F884">
        <v>168.19000199999999</v>
      </c>
      <c r="G884">
        <v>28618600</v>
      </c>
      <c r="H884" s="2">
        <f t="shared" si="13"/>
        <v>5.0990458357748292E-2</v>
      </c>
      <c r="I884" s="2">
        <f>VLOOKUP(A884,AAPL!A:H,8,)</f>
        <v>1.8930433545764291E-2</v>
      </c>
    </row>
    <row r="885" spans="1:9" x14ac:dyDescent="0.35">
      <c r="A885" s="1">
        <v>44748</v>
      </c>
      <c r="B885">
        <v>168.199997</v>
      </c>
      <c r="C885">
        <v>171.58999600000001</v>
      </c>
      <c r="D885">
        <v>165.46000699999999</v>
      </c>
      <c r="E885">
        <v>169.770004</v>
      </c>
      <c r="F885">
        <v>169.770004</v>
      </c>
      <c r="G885">
        <v>23085900</v>
      </c>
      <c r="H885" s="2">
        <f t="shared" si="13"/>
        <v>9.39414936210059E-3</v>
      </c>
      <c r="I885" s="2">
        <f>VLOOKUP(A885,AAPL!A:H,8,)</f>
        <v>9.6072338175645644E-3</v>
      </c>
    </row>
    <row r="886" spans="1:9" x14ac:dyDescent="0.35">
      <c r="A886" s="1">
        <v>44749</v>
      </c>
      <c r="B886">
        <v>169.449997</v>
      </c>
      <c r="C886">
        <v>172.720001</v>
      </c>
      <c r="D886">
        <v>167.779999</v>
      </c>
      <c r="E886">
        <v>172.19000199999999</v>
      </c>
      <c r="F886">
        <v>172.19000199999999</v>
      </c>
      <c r="G886">
        <v>24083400</v>
      </c>
      <c r="H886" s="2">
        <f t="shared" si="13"/>
        <v>1.4254567609010449E-2</v>
      </c>
      <c r="I886" s="2">
        <f>VLOOKUP(A886,AAPL!A:H,8,)</f>
        <v>2.399949655750766E-2</v>
      </c>
    </row>
    <row r="887" spans="1:9" x14ac:dyDescent="0.35">
      <c r="A887" s="1">
        <v>44750</v>
      </c>
      <c r="B887">
        <v>169.979996</v>
      </c>
      <c r="C887">
        <v>172.39999399999999</v>
      </c>
      <c r="D887">
        <v>168.14999399999999</v>
      </c>
      <c r="E887">
        <v>170.88000500000001</v>
      </c>
      <c r="F887">
        <v>170.88000500000001</v>
      </c>
      <c r="G887">
        <v>19249200</v>
      </c>
      <c r="H887" s="2">
        <f t="shared" si="13"/>
        <v>-7.6078575107977331E-3</v>
      </c>
      <c r="I887" s="2">
        <f>VLOOKUP(A887,AAPL!A:H,8,)</f>
        <v>4.7146359529359749E-3</v>
      </c>
    </row>
    <row r="888" spans="1:9" x14ac:dyDescent="0.35">
      <c r="A888" s="1">
        <v>44753</v>
      </c>
      <c r="B888">
        <v>167.070007</v>
      </c>
      <c r="C888">
        <v>167.490005</v>
      </c>
      <c r="D888">
        <v>161.91000399999999</v>
      </c>
      <c r="E888">
        <v>162.88000500000001</v>
      </c>
      <c r="F888">
        <v>162.88000500000001</v>
      </c>
      <c r="G888">
        <v>21885600</v>
      </c>
      <c r="H888" s="2">
        <f t="shared" si="13"/>
        <v>-4.6816478030884845E-2</v>
      </c>
      <c r="I888" s="2">
        <f>VLOOKUP(A888,AAPL!A:H,8,)</f>
        <v>-1.4757876110617185E-2</v>
      </c>
    </row>
    <row r="889" spans="1:9" x14ac:dyDescent="0.35">
      <c r="A889" s="1">
        <v>44754</v>
      </c>
      <c r="B889">
        <v>164.800003</v>
      </c>
      <c r="C889">
        <v>165.91000399999999</v>
      </c>
      <c r="D889">
        <v>162.10000600000001</v>
      </c>
      <c r="E889">
        <v>163.270004</v>
      </c>
      <c r="F889">
        <v>163.270004</v>
      </c>
      <c r="G889">
        <v>16639700</v>
      </c>
      <c r="H889" s="2">
        <f t="shared" si="13"/>
        <v>2.3943945728635008E-3</v>
      </c>
      <c r="I889" s="2">
        <f>VLOOKUP(A889,AAPL!A:H,8,)</f>
        <v>6.8337546363552715E-3</v>
      </c>
    </row>
    <row r="890" spans="1:9" x14ac:dyDescent="0.35">
      <c r="A890" s="1">
        <v>44755</v>
      </c>
      <c r="B890">
        <v>160.16000399999999</v>
      </c>
      <c r="C890">
        <v>164.979996</v>
      </c>
      <c r="D890">
        <v>159.61000100000001</v>
      </c>
      <c r="E890">
        <v>163.490005</v>
      </c>
      <c r="F890">
        <v>163.490005</v>
      </c>
      <c r="G890">
        <v>16555100</v>
      </c>
      <c r="H890" s="2">
        <f t="shared" si="13"/>
        <v>1.3474673523006242E-3</v>
      </c>
      <c r="I890" s="2">
        <f>VLOOKUP(A890,AAPL!A:H,8,)</f>
        <v>-2.5366515663195477E-3</v>
      </c>
    </row>
    <row r="891" spans="1:9" x14ac:dyDescent="0.35">
      <c r="A891" s="1">
        <v>44756</v>
      </c>
      <c r="B891">
        <v>161.220001</v>
      </c>
      <c r="C891">
        <v>162.58999600000001</v>
      </c>
      <c r="D891">
        <v>157.279999</v>
      </c>
      <c r="E891">
        <v>158.050003</v>
      </c>
      <c r="F891">
        <v>158.050003</v>
      </c>
      <c r="G891">
        <v>23765200</v>
      </c>
      <c r="H891" s="2">
        <f t="shared" si="13"/>
        <v>-3.3274217589020161E-2</v>
      </c>
      <c r="I891" s="2">
        <f>VLOOKUP(A891,AAPL!A:H,8,)</f>
        <v>2.0482479191611835E-2</v>
      </c>
    </row>
    <row r="892" spans="1:9" x14ac:dyDescent="0.35">
      <c r="A892" s="1">
        <v>44757</v>
      </c>
      <c r="B892">
        <v>160.53999300000001</v>
      </c>
      <c r="C892">
        <v>164.979996</v>
      </c>
      <c r="D892">
        <v>159.820007</v>
      </c>
      <c r="E892">
        <v>164.699997</v>
      </c>
      <c r="F892">
        <v>164.699997</v>
      </c>
      <c r="G892">
        <v>23342800</v>
      </c>
      <c r="H892" s="2">
        <f t="shared" si="13"/>
        <v>4.207525386760036E-2</v>
      </c>
      <c r="I892" s="2">
        <f>VLOOKUP(A892,AAPL!A:H,8,)</f>
        <v>1.1450104321074184E-2</v>
      </c>
    </row>
    <row r="893" spans="1:9" x14ac:dyDescent="0.35">
      <c r="A893" s="1">
        <v>44760</v>
      </c>
      <c r="B893">
        <v>166.75</v>
      </c>
      <c r="C893">
        <v>171.69000199999999</v>
      </c>
      <c r="D893">
        <v>165.63999899999999</v>
      </c>
      <c r="E893">
        <v>167.229996</v>
      </c>
      <c r="F893">
        <v>167.229996</v>
      </c>
      <c r="G893">
        <v>23574300</v>
      </c>
      <c r="H893" s="2">
        <f t="shared" si="13"/>
        <v>1.5361257110405369E-2</v>
      </c>
      <c r="I893" s="2">
        <f>VLOOKUP(A893,AAPL!A:H,8,)</f>
        <v>-2.0643211302433295E-2</v>
      </c>
    </row>
    <row r="894" spans="1:9" x14ac:dyDescent="0.35">
      <c r="A894" s="1">
        <v>44761</v>
      </c>
      <c r="B894">
        <v>170.36999499999999</v>
      </c>
      <c r="C894">
        <v>176.490005</v>
      </c>
      <c r="D894">
        <v>169.509995</v>
      </c>
      <c r="E894">
        <v>175.779999</v>
      </c>
      <c r="F894">
        <v>175.779999</v>
      </c>
      <c r="G894">
        <v>25933700</v>
      </c>
      <c r="H894" s="2">
        <f t="shared" si="13"/>
        <v>5.1127209259755002E-2</v>
      </c>
      <c r="I894" s="2">
        <f>VLOOKUP(A894,AAPL!A:H,8,)</f>
        <v>2.6721920262096743E-2</v>
      </c>
    </row>
    <row r="895" spans="1:9" x14ac:dyDescent="0.35">
      <c r="A895" s="1">
        <v>44762</v>
      </c>
      <c r="B895">
        <v>177.490005</v>
      </c>
      <c r="C895">
        <v>183.60000600000001</v>
      </c>
      <c r="D895">
        <v>176.699997</v>
      </c>
      <c r="E895">
        <v>183.08999600000001</v>
      </c>
      <c r="F895">
        <v>183.08999600000001</v>
      </c>
      <c r="G895">
        <v>24784300</v>
      </c>
      <c r="H895" s="2">
        <f t="shared" si="13"/>
        <v>4.1586056670759319E-2</v>
      </c>
      <c r="I895" s="2">
        <f>VLOOKUP(A895,AAPL!A:H,8,)</f>
        <v>1.3509887417218591E-2</v>
      </c>
    </row>
    <row r="896" spans="1:9" x14ac:dyDescent="0.35">
      <c r="A896" s="1">
        <v>44763</v>
      </c>
      <c r="B896">
        <v>180.63000500000001</v>
      </c>
      <c r="C896">
        <v>183.85000600000001</v>
      </c>
      <c r="D896">
        <v>178.86999499999999</v>
      </c>
      <c r="E896">
        <v>183.16999799999999</v>
      </c>
      <c r="F896">
        <v>183.16999799999999</v>
      </c>
      <c r="G896">
        <v>27195800</v>
      </c>
      <c r="H896" s="2">
        <f t="shared" si="13"/>
        <v>4.3695451279579522E-4</v>
      </c>
      <c r="I896" s="2">
        <f>VLOOKUP(A896,AAPL!A:H,8,)</f>
        <v>1.5094178683084492E-2</v>
      </c>
    </row>
    <row r="897" spans="1:9" x14ac:dyDescent="0.35">
      <c r="A897" s="1">
        <v>44764</v>
      </c>
      <c r="B897">
        <v>173.070007</v>
      </c>
      <c r="C897">
        <v>175.60000600000001</v>
      </c>
      <c r="D897">
        <v>168.41000399999999</v>
      </c>
      <c r="E897">
        <v>169.270004</v>
      </c>
      <c r="F897">
        <v>169.270004</v>
      </c>
      <c r="G897">
        <v>42583900</v>
      </c>
      <c r="H897" s="2">
        <f t="shared" si="13"/>
        <v>-7.5885757229740225E-2</v>
      </c>
      <c r="I897" s="2">
        <f>VLOOKUP(A897,AAPL!A:H,8,)</f>
        <v>-8.1107817916659108E-3</v>
      </c>
    </row>
    <row r="898" spans="1:9" x14ac:dyDescent="0.35">
      <c r="A898" s="1">
        <v>44767</v>
      </c>
      <c r="B898">
        <v>169</v>
      </c>
      <c r="C898">
        <v>170.570007</v>
      </c>
      <c r="D898">
        <v>164.80999800000001</v>
      </c>
      <c r="E898">
        <v>166.64999399999999</v>
      </c>
      <c r="F898">
        <v>166.64999399999999</v>
      </c>
      <c r="G898">
        <v>26166300</v>
      </c>
      <c r="H898" s="2">
        <f t="shared" si="13"/>
        <v>-1.5478288758119296E-2</v>
      </c>
      <c r="I898" s="2">
        <f>VLOOKUP(A898,AAPL!A:H,8,)</f>
        <v>-7.398267438465056E-3</v>
      </c>
    </row>
    <row r="899" spans="1:9" x14ac:dyDescent="0.35">
      <c r="A899" s="1">
        <v>44768</v>
      </c>
      <c r="B899">
        <v>165.94000199999999</v>
      </c>
      <c r="C899">
        <v>166</v>
      </c>
      <c r="D899">
        <v>157.949997</v>
      </c>
      <c r="E899">
        <v>159.14999399999999</v>
      </c>
      <c r="F899">
        <v>159.14999399999999</v>
      </c>
      <c r="G899">
        <v>28468400</v>
      </c>
      <c r="H899" s="2">
        <f t="shared" si="13"/>
        <v>-4.5004502070369101E-2</v>
      </c>
      <c r="I899" s="2">
        <f>VLOOKUP(A899,AAPL!A:H,8,)</f>
        <v>-8.8263551911019755E-3</v>
      </c>
    </row>
    <row r="900" spans="1:9" x14ac:dyDescent="0.35">
      <c r="A900" s="1">
        <v>44769</v>
      </c>
      <c r="B900">
        <v>162.58999600000001</v>
      </c>
      <c r="C900">
        <v>170.86999499999999</v>
      </c>
      <c r="D900">
        <v>162.020004</v>
      </c>
      <c r="E900">
        <v>169.58000200000001</v>
      </c>
      <c r="F900">
        <v>169.58000200000001</v>
      </c>
      <c r="G900">
        <v>43846600</v>
      </c>
      <c r="H900" s="2">
        <f t="shared" ref="H900:H963" si="14">E900/E899-1</f>
        <v>6.5535710921861723E-2</v>
      </c>
      <c r="I900" s="2">
        <f>VLOOKUP(A900,AAPL!A:H,8,)</f>
        <v>3.4234741389126411E-2</v>
      </c>
    </row>
    <row r="901" spans="1:9" x14ac:dyDescent="0.35">
      <c r="A901" s="1">
        <v>44770</v>
      </c>
      <c r="B901">
        <v>161.05999800000001</v>
      </c>
      <c r="C901">
        <v>161.509995</v>
      </c>
      <c r="D901">
        <v>154.85000600000001</v>
      </c>
      <c r="E901">
        <v>160.720001</v>
      </c>
      <c r="F901">
        <v>160.720001</v>
      </c>
      <c r="G901">
        <v>73214300</v>
      </c>
      <c r="H901" s="2">
        <f t="shared" si="14"/>
        <v>-5.2246732489129255E-2</v>
      </c>
      <c r="I901" s="2">
        <f>VLOOKUP(A901,AAPL!A:H,8,)</f>
        <v>3.5717394285488258E-3</v>
      </c>
    </row>
    <row r="902" spans="1:9" x14ac:dyDescent="0.35">
      <c r="A902" s="1">
        <v>44771</v>
      </c>
      <c r="B902">
        <v>157.69000199999999</v>
      </c>
      <c r="C902">
        <v>160.13999899999999</v>
      </c>
      <c r="D902">
        <v>155.16999799999999</v>
      </c>
      <c r="E902">
        <v>159.10000600000001</v>
      </c>
      <c r="F902">
        <v>159.10000600000001</v>
      </c>
      <c r="G902">
        <v>42065400</v>
      </c>
      <c r="H902" s="2">
        <f t="shared" si="14"/>
        <v>-1.0079610440022257E-2</v>
      </c>
      <c r="I902" s="2">
        <f>VLOOKUP(A902,AAPL!A:H,8,)</f>
        <v>3.2793065162005641E-2</v>
      </c>
    </row>
    <row r="903" spans="1:9" x14ac:dyDescent="0.35">
      <c r="A903" s="1">
        <v>44774</v>
      </c>
      <c r="B903">
        <v>157.25</v>
      </c>
      <c r="C903">
        <v>165.19000199999999</v>
      </c>
      <c r="D903">
        <v>155.229996</v>
      </c>
      <c r="E903">
        <v>159.929993</v>
      </c>
      <c r="F903">
        <v>159.929993</v>
      </c>
      <c r="G903">
        <v>40596700</v>
      </c>
      <c r="H903" s="2">
        <f t="shared" si="14"/>
        <v>5.2167628453765325E-3</v>
      </c>
      <c r="I903" s="2">
        <f>VLOOKUP(A903,AAPL!A:H,8,)</f>
        <v>-6.153467668250201E-3</v>
      </c>
    </row>
    <row r="904" spans="1:9" x14ac:dyDescent="0.35">
      <c r="A904" s="1">
        <v>44775</v>
      </c>
      <c r="B904">
        <v>158.30999800000001</v>
      </c>
      <c r="C904">
        <v>162.240005</v>
      </c>
      <c r="D904">
        <v>158.009995</v>
      </c>
      <c r="E904">
        <v>160.19000199999999</v>
      </c>
      <c r="F904">
        <v>160.19000199999999</v>
      </c>
      <c r="G904">
        <v>27374500</v>
      </c>
      <c r="H904" s="2">
        <f t="shared" si="14"/>
        <v>1.6257675944499894E-3</v>
      </c>
      <c r="I904" s="2">
        <f>VLOOKUP(A904,AAPL!A:H,8,)</f>
        <v>-9.2873509159603351E-3</v>
      </c>
    </row>
    <row r="905" spans="1:9" x14ac:dyDescent="0.35">
      <c r="A905" s="1">
        <v>44776</v>
      </c>
      <c r="B905">
        <v>162.69000199999999</v>
      </c>
      <c r="C905">
        <v>169.53999300000001</v>
      </c>
      <c r="D905">
        <v>161.570007</v>
      </c>
      <c r="E905">
        <v>168.800003</v>
      </c>
      <c r="F905">
        <v>168.800003</v>
      </c>
      <c r="G905">
        <v>31721900</v>
      </c>
      <c r="H905" s="2">
        <f t="shared" si="14"/>
        <v>5.3748679021803136E-2</v>
      </c>
      <c r="I905" s="2">
        <f>VLOOKUP(A905,AAPL!A:H,8,)</f>
        <v>3.8247673215663802E-2</v>
      </c>
    </row>
    <row r="906" spans="1:9" x14ac:dyDescent="0.35">
      <c r="A906" s="1">
        <v>44777</v>
      </c>
      <c r="B906">
        <v>168.300003</v>
      </c>
      <c r="C906">
        <v>172.14999399999999</v>
      </c>
      <c r="D906">
        <v>166.800003</v>
      </c>
      <c r="E906">
        <v>170.570007</v>
      </c>
      <c r="F906">
        <v>170.570007</v>
      </c>
      <c r="G906">
        <v>23938200</v>
      </c>
      <c r="H906" s="2">
        <f t="shared" si="14"/>
        <v>1.0485805500844769E-2</v>
      </c>
      <c r="I906" s="2">
        <f>VLOOKUP(A906,AAPL!A:H,8,)</f>
        <v>-1.9262444493395314E-3</v>
      </c>
    </row>
    <row r="907" spans="1:9" x14ac:dyDescent="0.35">
      <c r="A907" s="1">
        <v>44778</v>
      </c>
      <c r="B907">
        <v>166.990005</v>
      </c>
      <c r="C907">
        <v>171.61000100000001</v>
      </c>
      <c r="D907">
        <v>165.800003</v>
      </c>
      <c r="E907">
        <v>167.11000100000001</v>
      </c>
      <c r="F907">
        <v>167.11000100000001</v>
      </c>
      <c r="G907">
        <v>25832700</v>
      </c>
      <c r="H907" s="2">
        <f t="shared" si="14"/>
        <v>-2.0284961353141062E-2</v>
      </c>
      <c r="I907" s="2">
        <f>VLOOKUP(A907,AAPL!A:H,8,)</f>
        <v>-2.7742114802993267E-3</v>
      </c>
    </row>
    <row r="908" spans="1:9" x14ac:dyDescent="0.35">
      <c r="A908" s="1">
        <v>44781</v>
      </c>
      <c r="B908">
        <v>168</v>
      </c>
      <c r="C908">
        <v>177.509995</v>
      </c>
      <c r="D908">
        <v>167.13000500000001</v>
      </c>
      <c r="E908">
        <v>170.25</v>
      </c>
      <c r="F908">
        <v>170.25</v>
      </c>
      <c r="G908">
        <v>27299100</v>
      </c>
      <c r="H908" s="2">
        <f t="shared" si="14"/>
        <v>1.879001245413181E-2</v>
      </c>
      <c r="I908" s="2">
        <f>VLOOKUP(A908,AAPL!A:H,8,)</f>
        <v>-2.9029995922710272E-3</v>
      </c>
    </row>
    <row r="909" spans="1:9" x14ac:dyDescent="0.35">
      <c r="A909" s="1">
        <v>44782</v>
      </c>
      <c r="B909">
        <v>168.949997</v>
      </c>
      <c r="C909">
        <v>169.529999</v>
      </c>
      <c r="D909">
        <v>166.60000600000001</v>
      </c>
      <c r="E909">
        <v>168.529999</v>
      </c>
      <c r="F909">
        <v>168.529999</v>
      </c>
      <c r="G909">
        <v>18655100</v>
      </c>
      <c r="H909" s="2">
        <f t="shared" si="14"/>
        <v>-1.0102795888399352E-2</v>
      </c>
      <c r="I909" s="2">
        <f>VLOOKUP(A909,AAPL!A:H,8,)</f>
        <v>3.0328744778573835E-4</v>
      </c>
    </row>
    <row r="910" spans="1:9" x14ac:dyDescent="0.35">
      <c r="A910" s="1">
        <v>44783</v>
      </c>
      <c r="B910">
        <v>175.990005</v>
      </c>
      <c r="C910">
        <v>180.479996</v>
      </c>
      <c r="D910">
        <v>173.949997</v>
      </c>
      <c r="E910">
        <v>178.33999600000001</v>
      </c>
      <c r="F910">
        <v>178.33999600000001</v>
      </c>
      <c r="G910">
        <v>30262100</v>
      </c>
      <c r="H910" s="2">
        <f t="shared" si="14"/>
        <v>5.820920345463243E-2</v>
      </c>
      <c r="I910" s="2">
        <f>VLOOKUP(A910,AAPL!A:H,8,)</f>
        <v>2.6194561316936316E-2</v>
      </c>
    </row>
    <row r="911" spans="1:9" x14ac:dyDescent="0.35">
      <c r="A911" s="1">
        <v>44784</v>
      </c>
      <c r="B911">
        <v>179.71000699999999</v>
      </c>
      <c r="C911">
        <v>183.10000600000001</v>
      </c>
      <c r="D911">
        <v>176.36999499999999</v>
      </c>
      <c r="E911">
        <v>177.490005</v>
      </c>
      <c r="F911">
        <v>177.490005</v>
      </c>
      <c r="G911">
        <v>24079100</v>
      </c>
      <c r="H911" s="2">
        <f t="shared" si="14"/>
        <v>-4.7661266068438346E-3</v>
      </c>
      <c r="I911" s="2">
        <f>VLOOKUP(A911,AAPL!A:H,8,)</f>
        <v>-4.4315763285400767E-3</v>
      </c>
    </row>
    <row r="912" spans="1:9" x14ac:dyDescent="0.35">
      <c r="A912" s="1">
        <v>44785</v>
      </c>
      <c r="B912">
        <v>180.80999800000001</v>
      </c>
      <c r="C912">
        <v>181.46000699999999</v>
      </c>
      <c r="D912">
        <v>178.91000399999999</v>
      </c>
      <c r="E912">
        <v>180.5</v>
      </c>
      <c r="F912">
        <v>180.5</v>
      </c>
      <c r="G912">
        <v>21274000</v>
      </c>
      <c r="H912" s="2">
        <f t="shared" si="14"/>
        <v>1.6958673250361267E-2</v>
      </c>
      <c r="I912" s="2">
        <f>VLOOKUP(A912,AAPL!A:H,8,)</f>
        <v>2.1425609192664119E-2</v>
      </c>
    </row>
    <row r="913" spans="1:9" x14ac:dyDescent="0.35">
      <c r="A913" s="1">
        <v>44788</v>
      </c>
      <c r="B913">
        <v>178.96000699999999</v>
      </c>
      <c r="C913">
        <v>181.44000199999999</v>
      </c>
      <c r="D913">
        <v>178.199997</v>
      </c>
      <c r="E913">
        <v>180.88999899999999</v>
      </c>
      <c r="F913">
        <v>180.88999899999999</v>
      </c>
      <c r="G913">
        <v>15878700</v>
      </c>
      <c r="H913" s="2">
        <f t="shared" si="14"/>
        <v>2.1606592797782653E-3</v>
      </c>
      <c r="I913" s="2">
        <f>VLOOKUP(A913,AAPL!A:H,8,)</f>
        <v>6.3335035560661002E-3</v>
      </c>
    </row>
    <row r="914" spans="1:9" x14ac:dyDescent="0.35">
      <c r="A914" s="1">
        <v>44789</v>
      </c>
      <c r="B914">
        <v>179.44000199999999</v>
      </c>
      <c r="C914">
        <v>180.990005</v>
      </c>
      <c r="D914">
        <v>177.03999300000001</v>
      </c>
      <c r="E914">
        <v>179.470001</v>
      </c>
      <c r="F914">
        <v>179.470001</v>
      </c>
      <c r="G914">
        <v>21156700</v>
      </c>
      <c r="H914" s="2">
        <f t="shared" si="14"/>
        <v>-7.8500636179449357E-3</v>
      </c>
      <c r="I914" s="2">
        <f>VLOOKUP(A914,AAPL!A:H,8,)</f>
        <v>-9.2385817975793039E-4</v>
      </c>
    </row>
    <row r="915" spans="1:9" x14ac:dyDescent="0.35">
      <c r="A915" s="1">
        <v>44790</v>
      </c>
      <c r="B915">
        <v>176.759995</v>
      </c>
      <c r="C915">
        <v>178.13999899999999</v>
      </c>
      <c r="D915">
        <v>174.16999799999999</v>
      </c>
      <c r="E915">
        <v>174.85000600000001</v>
      </c>
      <c r="F915">
        <v>174.85000600000001</v>
      </c>
      <c r="G915">
        <v>20118100</v>
      </c>
      <c r="H915" s="2">
        <f t="shared" si="14"/>
        <v>-2.5742435918301387E-2</v>
      </c>
      <c r="I915" s="2">
        <f>VLOOKUP(A915,AAPL!A:H,8,)</f>
        <v>8.7846269940741184E-3</v>
      </c>
    </row>
    <row r="916" spans="1:9" x14ac:dyDescent="0.35">
      <c r="A916" s="1">
        <v>44791</v>
      </c>
      <c r="B916">
        <v>174.33999600000001</v>
      </c>
      <c r="C916">
        <v>175.759995</v>
      </c>
      <c r="D916">
        <v>171.86000100000001</v>
      </c>
      <c r="E916">
        <v>174.66000399999999</v>
      </c>
      <c r="F916">
        <v>174.66000399999999</v>
      </c>
      <c r="G916">
        <v>18844500</v>
      </c>
      <c r="H916" s="2">
        <f t="shared" si="14"/>
        <v>-1.0866570973981915E-3</v>
      </c>
      <c r="I916" s="2">
        <f>VLOOKUP(A916,AAPL!A:H,8,)</f>
        <v>-2.2916585111717458E-3</v>
      </c>
    </row>
    <row r="917" spans="1:9" x14ac:dyDescent="0.35">
      <c r="A917" s="1">
        <v>44792</v>
      </c>
      <c r="B917">
        <v>170.199997</v>
      </c>
      <c r="C917">
        <v>172.320007</v>
      </c>
      <c r="D917">
        <v>167.050003</v>
      </c>
      <c r="E917">
        <v>167.96000699999999</v>
      </c>
      <c r="F917">
        <v>167.96000699999999</v>
      </c>
      <c r="G917">
        <v>26240800</v>
      </c>
      <c r="H917" s="2">
        <f t="shared" si="14"/>
        <v>-3.8360224702617018E-2</v>
      </c>
      <c r="I917" s="2">
        <f>VLOOKUP(A917,AAPL!A:H,8,)</f>
        <v>-1.5101866727598057E-2</v>
      </c>
    </row>
    <row r="918" spans="1:9" x14ac:dyDescent="0.35">
      <c r="A918" s="1">
        <v>44795</v>
      </c>
      <c r="B918">
        <v>165.490005</v>
      </c>
      <c r="C918">
        <v>165.490005</v>
      </c>
      <c r="D918">
        <v>162.259995</v>
      </c>
      <c r="E918">
        <v>163.050003</v>
      </c>
      <c r="F918">
        <v>163.050003</v>
      </c>
      <c r="G918">
        <v>19499700</v>
      </c>
      <c r="H918" s="2">
        <f t="shared" si="14"/>
        <v>-2.9233173347033681E-2</v>
      </c>
      <c r="I918" s="2">
        <f>VLOOKUP(A918,AAPL!A:H,8,)</f>
        <v>-2.3029366300621135E-2</v>
      </c>
    </row>
    <row r="919" spans="1:9" x14ac:dyDescent="0.35">
      <c r="A919" s="1">
        <v>44796</v>
      </c>
      <c r="B919">
        <v>162.479996</v>
      </c>
      <c r="C919">
        <v>165.050003</v>
      </c>
      <c r="D919">
        <v>160.699997</v>
      </c>
      <c r="E919">
        <v>161.11000100000001</v>
      </c>
      <c r="F919">
        <v>161.11000100000001</v>
      </c>
      <c r="G919">
        <v>18111800</v>
      </c>
      <c r="H919" s="2">
        <f t="shared" si="14"/>
        <v>-1.1898202786294942E-2</v>
      </c>
      <c r="I919" s="2">
        <f>VLOOKUP(A919,AAPL!A:H,8,)</f>
        <v>-2.0290683642449903E-3</v>
      </c>
    </row>
    <row r="920" spans="1:9" x14ac:dyDescent="0.35">
      <c r="A920" s="1">
        <v>44797</v>
      </c>
      <c r="B920">
        <v>160.60000600000001</v>
      </c>
      <c r="C920">
        <v>165.46000699999999</v>
      </c>
      <c r="D920">
        <v>159.770004</v>
      </c>
      <c r="E920">
        <v>163.259995</v>
      </c>
      <c r="F920">
        <v>163.259995</v>
      </c>
      <c r="G920">
        <v>20891500</v>
      </c>
      <c r="H920" s="2">
        <f t="shared" si="14"/>
        <v>1.3344882295668326E-2</v>
      </c>
      <c r="I920" s="2">
        <f>VLOOKUP(A920,AAPL!A:H,8,)</f>
        <v>1.7939544769229876E-3</v>
      </c>
    </row>
    <row r="921" spans="1:9" x14ac:dyDescent="0.35">
      <c r="A921" s="1">
        <v>44798</v>
      </c>
      <c r="B921">
        <v>165.179993</v>
      </c>
      <c r="C921">
        <v>168.88000500000001</v>
      </c>
      <c r="D921">
        <v>164.020004</v>
      </c>
      <c r="E921">
        <v>168.779999</v>
      </c>
      <c r="F921">
        <v>168.779999</v>
      </c>
      <c r="G921">
        <v>15550500</v>
      </c>
      <c r="H921" s="2">
        <f t="shared" si="14"/>
        <v>3.3811124397008507E-2</v>
      </c>
      <c r="I921" s="2">
        <f>VLOOKUP(A921,AAPL!A:H,8,)</f>
        <v>1.4922700500941355E-2</v>
      </c>
    </row>
    <row r="922" spans="1:9" x14ac:dyDescent="0.35">
      <c r="A922" s="1">
        <v>44799</v>
      </c>
      <c r="B922">
        <v>168.479996</v>
      </c>
      <c r="C922">
        <v>170.91999799999999</v>
      </c>
      <c r="D922">
        <v>161.66999799999999</v>
      </c>
      <c r="E922">
        <v>161.779999</v>
      </c>
      <c r="F922">
        <v>161.779999</v>
      </c>
      <c r="G922">
        <v>24023600</v>
      </c>
      <c r="H922" s="2">
        <f t="shared" si="14"/>
        <v>-4.1474108552400191E-2</v>
      </c>
      <c r="I922" s="2">
        <f>VLOOKUP(A922,AAPL!A:H,8,)</f>
        <v>-3.7699253294708357E-2</v>
      </c>
    </row>
    <row r="923" spans="1:9" x14ac:dyDescent="0.35">
      <c r="A923" s="1">
        <v>44802</v>
      </c>
      <c r="B923">
        <v>160.66000399999999</v>
      </c>
      <c r="C923">
        <v>163.050003</v>
      </c>
      <c r="D923">
        <v>159.009995</v>
      </c>
      <c r="E923">
        <v>159.16999799999999</v>
      </c>
      <c r="F923">
        <v>159.16999799999999</v>
      </c>
      <c r="G923">
        <v>20052700</v>
      </c>
      <c r="H923" s="2">
        <f t="shared" si="14"/>
        <v>-1.6133026431777941E-2</v>
      </c>
      <c r="I923" s="2">
        <f>VLOOKUP(A923,AAPL!A:H,8,)</f>
        <v>-1.3690197215810773E-2</v>
      </c>
    </row>
    <row r="924" spans="1:9" x14ac:dyDescent="0.35">
      <c r="A924" s="1">
        <v>44803</v>
      </c>
      <c r="B924">
        <v>160.35000600000001</v>
      </c>
      <c r="C924">
        <v>161.66000399999999</v>
      </c>
      <c r="D924">
        <v>155.91000399999999</v>
      </c>
      <c r="E924">
        <v>157.16000399999999</v>
      </c>
      <c r="F924">
        <v>157.16000399999999</v>
      </c>
      <c r="G924">
        <v>19567900</v>
      </c>
      <c r="H924" s="2">
        <f t="shared" si="14"/>
        <v>-1.26279702535399E-2</v>
      </c>
      <c r="I924" s="2">
        <f>VLOOKUP(A924,AAPL!A:H,8,)</f>
        <v>-1.5305495869826102E-2</v>
      </c>
    </row>
    <row r="925" spans="1:9" x14ac:dyDescent="0.35">
      <c r="A925" s="1">
        <v>44804</v>
      </c>
      <c r="B925">
        <v>167.070007</v>
      </c>
      <c r="C925">
        <v>167.83999600000001</v>
      </c>
      <c r="D925">
        <v>162.13999899999999</v>
      </c>
      <c r="E925">
        <v>162.929993</v>
      </c>
      <c r="F925">
        <v>162.929993</v>
      </c>
      <c r="G925">
        <v>40953000</v>
      </c>
      <c r="H925" s="2">
        <f t="shared" si="14"/>
        <v>3.6714105708472777E-2</v>
      </c>
      <c r="I925" s="2">
        <f>VLOOKUP(A925,AAPL!A:H,8,)</f>
        <v>-1.0634969211881673E-2</v>
      </c>
    </row>
    <row r="926" spans="1:9" x14ac:dyDescent="0.35">
      <c r="A926" s="1">
        <v>44805</v>
      </c>
      <c r="B926">
        <v>163.58000200000001</v>
      </c>
      <c r="C926">
        <v>167.36000100000001</v>
      </c>
      <c r="D926">
        <v>160.35000600000001</v>
      </c>
      <c r="E926">
        <v>165.36000100000001</v>
      </c>
      <c r="F926">
        <v>165.36000100000001</v>
      </c>
      <c r="G926">
        <v>30145700</v>
      </c>
      <c r="H926" s="2">
        <f t="shared" si="14"/>
        <v>1.4914430150377633E-2</v>
      </c>
      <c r="I926" s="2">
        <f>VLOOKUP(A926,AAPL!A:H,8,)</f>
        <v>4.7068184409946312E-3</v>
      </c>
    </row>
    <row r="927" spans="1:9" x14ac:dyDescent="0.35">
      <c r="A927" s="1">
        <v>44806</v>
      </c>
      <c r="B927">
        <v>167.449997</v>
      </c>
      <c r="C927">
        <v>167.929993</v>
      </c>
      <c r="D927">
        <v>159.220001</v>
      </c>
      <c r="E927">
        <v>160.320007</v>
      </c>
      <c r="F927">
        <v>160.320007</v>
      </c>
      <c r="G927">
        <v>22634200</v>
      </c>
      <c r="H927" s="2">
        <f t="shared" si="14"/>
        <v>-3.0478918538468069E-2</v>
      </c>
      <c r="I927" s="2">
        <f>VLOOKUP(A927,AAPL!A:H,8,)</f>
        <v>-1.3611097143088724E-2</v>
      </c>
    </row>
    <row r="928" spans="1:9" x14ac:dyDescent="0.35">
      <c r="A928" s="1">
        <v>44810</v>
      </c>
      <c r="B928">
        <v>160.10000600000001</v>
      </c>
      <c r="C928">
        <v>161.69000199999999</v>
      </c>
      <c r="D928">
        <v>157.69000199999999</v>
      </c>
      <c r="E928">
        <v>158.53999300000001</v>
      </c>
      <c r="F928">
        <v>158.53999300000001</v>
      </c>
      <c r="G928">
        <v>19339800</v>
      </c>
      <c r="H928" s="2">
        <f t="shared" si="14"/>
        <v>-1.1102881251745411E-2</v>
      </c>
      <c r="I928" s="2">
        <f>VLOOKUP(A928,AAPL!A:H,8,)</f>
        <v>-8.2151275042054994E-3</v>
      </c>
    </row>
    <row r="929" spans="1:9" x14ac:dyDescent="0.35">
      <c r="A929" s="1">
        <v>44811</v>
      </c>
      <c r="B929">
        <v>157.759995</v>
      </c>
      <c r="C929">
        <v>160.96000699999999</v>
      </c>
      <c r="D929">
        <v>156.80999800000001</v>
      </c>
      <c r="E929">
        <v>160.38999899999999</v>
      </c>
      <c r="F929">
        <v>160.38999899999999</v>
      </c>
      <c r="G929">
        <v>16831200</v>
      </c>
      <c r="H929" s="2">
        <f t="shared" si="14"/>
        <v>1.1669017797925507E-2</v>
      </c>
      <c r="I929" s="2">
        <f>VLOOKUP(A929,AAPL!A:H,8,)</f>
        <v>9.2539183928939117E-3</v>
      </c>
    </row>
    <row r="930" spans="1:9" x14ac:dyDescent="0.35">
      <c r="A930" s="1">
        <v>44812</v>
      </c>
      <c r="B930">
        <v>158.71000699999999</v>
      </c>
      <c r="C930">
        <v>162.229996</v>
      </c>
      <c r="D930">
        <v>157.740005</v>
      </c>
      <c r="E930">
        <v>162.05999800000001</v>
      </c>
      <c r="F930">
        <v>162.05999800000001</v>
      </c>
      <c r="G930">
        <v>22530800</v>
      </c>
      <c r="H930" s="2">
        <f t="shared" si="14"/>
        <v>1.0412114286502572E-2</v>
      </c>
      <c r="I930" s="2">
        <f>VLOOKUP(A930,AAPL!A:H,8,)</f>
        <v>-9.6178502992757542E-3</v>
      </c>
    </row>
    <row r="931" spans="1:9" x14ac:dyDescent="0.35">
      <c r="A931" s="1">
        <v>44813</v>
      </c>
      <c r="B931">
        <v>163.25</v>
      </c>
      <c r="C931">
        <v>169.53999300000001</v>
      </c>
      <c r="D931">
        <v>163.020004</v>
      </c>
      <c r="E931">
        <v>169.14999399999999</v>
      </c>
      <c r="F931">
        <v>169.14999399999999</v>
      </c>
      <c r="G931">
        <v>22086800</v>
      </c>
      <c r="H931" s="2">
        <f t="shared" si="14"/>
        <v>4.3749204538432673E-2</v>
      </c>
      <c r="I931" s="2">
        <f>VLOOKUP(A931,AAPL!A:H,8,)</f>
        <v>1.8839750538144129E-2</v>
      </c>
    </row>
    <row r="932" spans="1:9" x14ac:dyDescent="0.35">
      <c r="A932" s="1">
        <v>44816</v>
      </c>
      <c r="B932">
        <v>167.38999899999999</v>
      </c>
      <c r="C932">
        <v>171.38999899999999</v>
      </c>
      <c r="D932">
        <v>167.279999</v>
      </c>
      <c r="E932">
        <v>168.96000699999999</v>
      </c>
      <c r="F932">
        <v>168.96000699999999</v>
      </c>
      <c r="G932">
        <v>23220400</v>
      </c>
      <c r="H932" s="2">
        <f t="shared" si="14"/>
        <v>-1.1231865606805558E-3</v>
      </c>
      <c r="I932" s="2">
        <f>VLOOKUP(A932,AAPL!A:H,8,)</f>
        <v>3.8507963350955299E-2</v>
      </c>
    </row>
    <row r="933" spans="1:9" x14ac:dyDescent="0.35">
      <c r="A933" s="1">
        <v>44817</v>
      </c>
      <c r="B933">
        <v>161.53999300000001</v>
      </c>
      <c r="C933">
        <v>161.63000500000001</v>
      </c>
      <c r="D933">
        <v>152.66999799999999</v>
      </c>
      <c r="E933">
        <v>153.13000500000001</v>
      </c>
      <c r="F933">
        <v>153.13000500000001</v>
      </c>
      <c r="G933">
        <v>44444100</v>
      </c>
      <c r="H933" s="2">
        <f t="shared" si="14"/>
        <v>-9.3690822349456804E-2</v>
      </c>
      <c r="I933" s="2">
        <f>VLOOKUP(A933,AAPL!A:H,8,)</f>
        <v>-5.8679541153746406E-2</v>
      </c>
    </row>
    <row r="934" spans="1:9" x14ac:dyDescent="0.35">
      <c r="A934" s="1">
        <v>44818</v>
      </c>
      <c r="B934">
        <v>153.33000200000001</v>
      </c>
      <c r="C934">
        <v>153.53999300000001</v>
      </c>
      <c r="D934">
        <v>149.050003</v>
      </c>
      <c r="E934">
        <v>151.470001</v>
      </c>
      <c r="F934">
        <v>151.470001</v>
      </c>
      <c r="G934">
        <v>43064200</v>
      </c>
      <c r="H934" s="2">
        <f t="shared" si="14"/>
        <v>-1.0840488119882252E-2</v>
      </c>
      <c r="I934" s="2">
        <f>VLOOKUP(A934,AAPL!A:H,8,)</f>
        <v>9.5553954642588756E-3</v>
      </c>
    </row>
    <row r="935" spans="1:9" x14ac:dyDescent="0.35">
      <c r="A935" s="1">
        <v>44819</v>
      </c>
      <c r="B935">
        <v>149.800003</v>
      </c>
      <c r="C935">
        <v>154.199997</v>
      </c>
      <c r="D935">
        <v>148.699997</v>
      </c>
      <c r="E935">
        <v>149.550003</v>
      </c>
      <c r="F935">
        <v>149.550003</v>
      </c>
      <c r="G935">
        <v>34606300</v>
      </c>
      <c r="H935" s="2">
        <f t="shared" si="14"/>
        <v>-1.2675764094039921E-2</v>
      </c>
      <c r="I935" s="2">
        <f>VLOOKUP(A935,AAPL!A:H,8,)</f>
        <v>-1.8929901731117305E-2</v>
      </c>
    </row>
    <row r="936" spans="1:9" x14ac:dyDescent="0.35">
      <c r="A936" s="1">
        <v>44820</v>
      </c>
      <c r="B936">
        <v>148.050003</v>
      </c>
      <c r="C936">
        <v>148.58000200000001</v>
      </c>
      <c r="D936">
        <v>144.28999300000001</v>
      </c>
      <c r="E936">
        <v>146.28999300000001</v>
      </c>
      <c r="F936">
        <v>146.28999300000001</v>
      </c>
      <c r="G936">
        <v>40122800</v>
      </c>
      <c r="H936" s="2">
        <f t="shared" si="14"/>
        <v>-2.1798795951879724E-2</v>
      </c>
      <c r="I936" s="2">
        <f>VLOOKUP(A936,AAPL!A:H,8,)</f>
        <v>-1.0960149995410839E-2</v>
      </c>
    </row>
    <row r="937" spans="1:9" x14ac:dyDescent="0.35">
      <c r="A937" s="1">
        <v>44823</v>
      </c>
      <c r="B937">
        <v>145.240005</v>
      </c>
      <c r="C937">
        <v>148.58000200000001</v>
      </c>
      <c r="D937">
        <v>145.10000600000001</v>
      </c>
      <c r="E937">
        <v>148.020004</v>
      </c>
      <c r="F937">
        <v>148.020004</v>
      </c>
      <c r="G937">
        <v>22169500</v>
      </c>
      <c r="H937" s="2">
        <f t="shared" si="14"/>
        <v>1.1825901174251863E-2</v>
      </c>
      <c r="I937" s="2">
        <f>VLOOKUP(A937,AAPL!A:H,8,)</f>
        <v>2.5082940114458108E-2</v>
      </c>
    </row>
    <row r="938" spans="1:9" x14ac:dyDescent="0.35">
      <c r="A938" s="1">
        <v>44824</v>
      </c>
      <c r="B938">
        <v>145.779999</v>
      </c>
      <c r="C938">
        <v>148.83999600000001</v>
      </c>
      <c r="D938">
        <v>145.220001</v>
      </c>
      <c r="E938">
        <v>146.08999600000001</v>
      </c>
      <c r="F938">
        <v>146.08999600000001</v>
      </c>
      <c r="G938">
        <v>23217400</v>
      </c>
      <c r="H938" s="2">
        <f t="shared" si="14"/>
        <v>-1.3038832237837195E-2</v>
      </c>
      <c r="I938" s="2">
        <f>VLOOKUP(A938,AAPL!A:H,8,)</f>
        <v>1.566544577072615E-2</v>
      </c>
    </row>
    <row r="939" spans="1:9" x14ac:dyDescent="0.35">
      <c r="A939" s="1">
        <v>44825</v>
      </c>
      <c r="B939">
        <v>146.38999899999999</v>
      </c>
      <c r="C939">
        <v>149.60000600000001</v>
      </c>
      <c r="D939">
        <v>142</v>
      </c>
      <c r="E939">
        <v>142.11999499999999</v>
      </c>
      <c r="F939">
        <v>142.11999499999999</v>
      </c>
      <c r="G939">
        <v>38338600</v>
      </c>
      <c r="H939" s="2">
        <f t="shared" si="14"/>
        <v>-2.7175036680814335E-2</v>
      </c>
      <c r="I939" s="2">
        <f>VLOOKUP(A939,AAPL!A:H,8,)</f>
        <v>-2.0267642585123369E-2</v>
      </c>
    </row>
    <row r="940" spans="1:9" x14ac:dyDescent="0.35">
      <c r="A940" s="1">
        <v>44826</v>
      </c>
      <c r="B940">
        <v>141.550003</v>
      </c>
      <c r="C940">
        <v>144.58000200000001</v>
      </c>
      <c r="D940">
        <v>140.86999499999999</v>
      </c>
      <c r="E940">
        <v>142.820007</v>
      </c>
      <c r="F940">
        <v>142.820007</v>
      </c>
      <c r="G940">
        <v>34418500</v>
      </c>
      <c r="H940" s="2">
        <f t="shared" si="14"/>
        <v>4.925499751108342E-3</v>
      </c>
      <c r="I940" s="2">
        <f>VLOOKUP(A940,AAPL!A:H,8,)</f>
        <v>-6.3752016238928233E-3</v>
      </c>
    </row>
    <row r="941" spans="1:9" x14ac:dyDescent="0.35">
      <c r="A941" s="1">
        <v>44827</v>
      </c>
      <c r="B941">
        <v>141.41999799999999</v>
      </c>
      <c r="C941">
        <v>142.61999499999999</v>
      </c>
      <c r="D941">
        <v>138.88999899999999</v>
      </c>
      <c r="E941">
        <v>140.41000399999999</v>
      </c>
      <c r="F941">
        <v>140.41000399999999</v>
      </c>
      <c r="G941">
        <v>31710700</v>
      </c>
      <c r="H941" s="2">
        <f t="shared" si="14"/>
        <v>-1.6874407519109069E-2</v>
      </c>
      <c r="I941" s="2">
        <f>VLOOKUP(A941,AAPL!A:H,8,)</f>
        <v>-1.5123817758157077E-2</v>
      </c>
    </row>
    <row r="942" spans="1:9" x14ac:dyDescent="0.35">
      <c r="A942" s="1">
        <v>44830</v>
      </c>
      <c r="B942">
        <v>140.11999499999999</v>
      </c>
      <c r="C942">
        <v>142.240005</v>
      </c>
      <c r="D942">
        <v>136.19000199999999</v>
      </c>
      <c r="E942">
        <v>136.36999499999999</v>
      </c>
      <c r="F942">
        <v>136.36999499999999</v>
      </c>
      <c r="G942">
        <v>30497000</v>
      </c>
      <c r="H942" s="2">
        <f t="shared" si="14"/>
        <v>-2.8772942702857573E-2</v>
      </c>
      <c r="I942" s="2">
        <f>VLOOKUP(A942,AAPL!A:H,8,)</f>
        <v>2.2602606914965406E-3</v>
      </c>
    </row>
    <row r="943" spans="1:9" x14ac:dyDescent="0.35">
      <c r="A943" s="1">
        <v>44831</v>
      </c>
      <c r="B943">
        <v>137.91999799999999</v>
      </c>
      <c r="C943">
        <v>139.41999799999999</v>
      </c>
      <c r="D943">
        <v>134.11999499999999</v>
      </c>
      <c r="E943">
        <v>134.39999399999999</v>
      </c>
      <c r="F943">
        <v>134.39999399999999</v>
      </c>
      <c r="G943">
        <v>30826500</v>
      </c>
      <c r="H943" s="2">
        <f t="shared" si="14"/>
        <v>-1.4446000383002144E-2</v>
      </c>
      <c r="I943" s="2">
        <f>VLOOKUP(A943,AAPL!A:H,8,)</f>
        <v>6.5662331613389746E-3</v>
      </c>
    </row>
    <row r="944" spans="1:9" x14ac:dyDescent="0.35">
      <c r="A944" s="1">
        <v>44832</v>
      </c>
      <c r="B944">
        <v>134.61999499999999</v>
      </c>
      <c r="C944">
        <v>142.029999</v>
      </c>
      <c r="D944">
        <v>134.270004</v>
      </c>
      <c r="E944">
        <v>141.61000100000001</v>
      </c>
      <c r="F944">
        <v>141.61000100000001</v>
      </c>
      <c r="G944">
        <v>32658500</v>
      </c>
      <c r="H944" s="2">
        <f t="shared" si="14"/>
        <v>5.3645887811572424E-2</v>
      </c>
      <c r="I944" s="2">
        <f>VLOOKUP(A944,AAPL!A:H,8,)</f>
        <v>-1.2651548914455302E-2</v>
      </c>
    </row>
    <row r="945" spans="1:9" x14ac:dyDescent="0.35">
      <c r="A945" s="1">
        <v>44833</v>
      </c>
      <c r="B945">
        <v>139.36000100000001</v>
      </c>
      <c r="C945">
        <v>139.83999600000001</v>
      </c>
      <c r="D945">
        <v>135.199997</v>
      </c>
      <c r="E945">
        <v>136.41000399999999</v>
      </c>
      <c r="F945">
        <v>136.41000399999999</v>
      </c>
      <c r="G945">
        <v>38985400</v>
      </c>
      <c r="H945" s="2">
        <f t="shared" si="14"/>
        <v>-3.6720549136921687E-2</v>
      </c>
      <c r="I945" s="2">
        <f>VLOOKUP(A945,AAPL!A:H,8,)</f>
        <v>-4.9119061642260098E-2</v>
      </c>
    </row>
    <row r="946" spans="1:9" x14ac:dyDescent="0.35">
      <c r="A946" s="1">
        <v>44834</v>
      </c>
      <c r="B946">
        <v>136.050003</v>
      </c>
      <c r="C946">
        <v>140.990005</v>
      </c>
      <c r="D946">
        <v>135.5</v>
      </c>
      <c r="E946">
        <v>135.679993</v>
      </c>
      <c r="F946">
        <v>135.679993</v>
      </c>
      <c r="G946">
        <v>33166400</v>
      </c>
      <c r="H946" s="2">
        <f t="shared" si="14"/>
        <v>-5.3515943009575517E-3</v>
      </c>
      <c r="I946" s="2">
        <f>VLOOKUP(A946,AAPL!A:H,8,)</f>
        <v>-3.0039297586729297E-2</v>
      </c>
    </row>
    <row r="947" spans="1:9" x14ac:dyDescent="0.35">
      <c r="A947" s="1">
        <v>44837</v>
      </c>
      <c r="B947">
        <v>137.13999899999999</v>
      </c>
      <c r="C947">
        <v>139.61999499999999</v>
      </c>
      <c r="D947">
        <v>136.10000600000001</v>
      </c>
      <c r="E947">
        <v>138.61000100000001</v>
      </c>
      <c r="F947">
        <v>138.61000100000001</v>
      </c>
      <c r="G947">
        <v>27723100</v>
      </c>
      <c r="H947" s="2">
        <f t="shared" si="14"/>
        <v>2.1594989321675584E-2</v>
      </c>
      <c r="I947" s="2">
        <f>VLOOKUP(A947,AAPL!A:H,8,)</f>
        <v>3.0752533229071011E-2</v>
      </c>
    </row>
    <row r="948" spans="1:9" x14ac:dyDescent="0.35">
      <c r="A948" s="1">
        <v>44838</v>
      </c>
      <c r="B948">
        <v>140.490005</v>
      </c>
      <c r="C948">
        <v>142.38999899999999</v>
      </c>
      <c r="D948">
        <v>139.33999600000001</v>
      </c>
      <c r="E948">
        <v>140.279999</v>
      </c>
      <c r="F948">
        <v>140.279999</v>
      </c>
      <c r="G948">
        <v>34670700</v>
      </c>
      <c r="H948" s="2">
        <f t="shared" si="14"/>
        <v>1.2048178255189557E-2</v>
      </c>
      <c r="I948" s="2">
        <f>VLOOKUP(A948,AAPL!A:H,8,)</f>
        <v>2.5623089342711625E-2</v>
      </c>
    </row>
    <row r="949" spans="1:9" x14ac:dyDescent="0.35">
      <c r="A949" s="1">
        <v>44839</v>
      </c>
      <c r="B949">
        <v>138.240005</v>
      </c>
      <c r="C949">
        <v>140.21000699999999</v>
      </c>
      <c r="D949">
        <v>134.779999</v>
      </c>
      <c r="E949">
        <v>138.979996</v>
      </c>
      <c r="F949">
        <v>138.979996</v>
      </c>
      <c r="G949">
        <v>27979300</v>
      </c>
      <c r="H949" s="2">
        <f t="shared" si="14"/>
        <v>-9.267201377724632E-3</v>
      </c>
      <c r="I949" s="2">
        <f>VLOOKUP(A949,AAPL!A:H,8,)</f>
        <v>2.0533058705007878E-3</v>
      </c>
    </row>
    <row r="950" spans="1:9" x14ac:dyDescent="0.35">
      <c r="A950" s="1">
        <v>44840</v>
      </c>
      <c r="B950">
        <v>137.720001</v>
      </c>
      <c r="C950">
        <v>141.449997</v>
      </c>
      <c r="D950">
        <v>136.60000600000001</v>
      </c>
      <c r="E950">
        <v>139.070007</v>
      </c>
      <c r="F950">
        <v>139.070007</v>
      </c>
      <c r="G950">
        <v>36231100</v>
      </c>
      <c r="H950" s="2">
        <f t="shared" si="14"/>
        <v>6.4765435739411181E-4</v>
      </c>
      <c r="I950" s="2">
        <f>VLOOKUP(A950,AAPL!A:H,8,)</f>
        <v>-6.6256901622550046E-3</v>
      </c>
    </row>
    <row r="951" spans="1:9" x14ac:dyDescent="0.35">
      <c r="A951" s="1">
        <v>44841</v>
      </c>
      <c r="B951">
        <v>136.759995</v>
      </c>
      <c r="C951">
        <v>138.28999300000001</v>
      </c>
      <c r="D951">
        <v>132.44000199999999</v>
      </c>
      <c r="E951">
        <v>133.449997</v>
      </c>
      <c r="F951">
        <v>133.449997</v>
      </c>
      <c r="G951">
        <v>33214800</v>
      </c>
      <c r="H951" s="2">
        <f t="shared" si="14"/>
        <v>-4.0411373532180828E-2</v>
      </c>
      <c r="I951" s="2">
        <f>VLOOKUP(A951,AAPL!A:H,8,)</f>
        <v>-3.6718677418900669E-2</v>
      </c>
    </row>
    <row r="952" spans="1:9" x14ac:dyDescent="0.35">
      <c r="A952" s="1">
        <v>44844</v>
      </c>
      <c r="B952">
        <v>133.550003</v>
      </c>
      <c r="C952">
        <v>136.11000100000001</v>
      </c>
      <c r="D952">
        <v>131.86999499999999</v>
      </c>
      <c r="E952">
        <v>133.78999300000001</v>
      </c>
      <c r="F952">
        <v>133.78999300000001</v>
      </c>
      <c r="G952">
        <v>24024000</v>
      </c>
      <c r="H952" s="2">
        <f t="shared" si="14"/>
        <v>2.5477407841381083E-3</v>
      </c>
      <c r="I952" s="2">
        <f>VLOOKUP(A952,AAPL!A:H,8,)</f>
        <v>2.3556428683171315E-3</v>
      </c>
    </row>
    <row r="953" spans="1:9" x14ac:dyDescent="0.35">
      <c r="A953" s="1">
        <v>44845</v>
      </c>
      <c r="B953">
        <v>131.61999499999999</v>
      </c>
      <c r="C953">
        <v>132.66000399999999</v>
      </c>
      <c r="D953">
        <v>126.989998</v>
      </c>
      <c r="E953">
        <v>128.53999300000001</v>
      </c>
      <c r="F953">
        <v>128.53999300000001</v>
      </c>
      <c r="G953">
        <v>38481400</v>
      </c>
      <c r="H953" s="2">
        <f t="shared" si="14"/>
        <v>-3.9240602994874196E-2</v>
      </c>
      <c r="I953" s="2">
        <f>VLOOKUP(A953,AAPL!A:H,8,)</f>
        <v>-1.0254963826448638E-2</v>
      </c>
    </row>
    <row r="954" spans="1:9" x14ac:dyDescent="0.35">
      <c r="A954" s="1">
        <v>44846</v>
      </c>
      <c r="B954">
        <v>128.320007</v>
      </c>
      <c r="C954">
        <v>129.66999799999999</v>
      </c>
      <c r="D954">
        <v>126.25</v>
      </c>
      <c r="E954">
        <v>127.5</v>
      </c>
      <c r="F954">
        <v>127.5</v>
      </c>
      <c r="G954">
        <v>34605200</v>
      </c>
      <c r="H954" s="2">
        <f t="shared" si="14"/>
        <v>-8.0908126391450175E-3</v>
      </c>
      <c r="I954" s="2">
        <f>VLOOKUP(A954,AAPL!A:H,8,)</f>
        <v>-4.604979266224607E-3</v>
      </c>
    </row>
    <row r="955" spans="1:9" x14ac:dyDescent="0.35">
      <c r="A955" s="1">
        <v>44847</v>
      </c>
      <c r="B955">
        <v>123.529999</v>
      </c>
      <c r="C955">
        <v>131.13999899999999</v>
      </c>
      <c r="D955">
        <v>122.529999</v>
      </c>
      <c r="E955">
        <v>130.28999300000001</v>
      </c>
      <c r="F955">
        <v>130.28999300000001</v>
      </c>
      <c r="G955">
        <v>34325700</v>
      </c>
      <c r="H955" s="2">
        <f t="shared" si="14"/>
        <v>2.1882298039215708E-2</v>
      </c>
      <c r="I955" s="2">
        <f>VLOOKUP(A955,AAPL!A:H,8,)</f>
        <v>3.3612903964519214E-2</v>
      </c>
    </row>
    <row r="956" spans="1:9" x14ac:dyDescent="0.35">
      <c r="A956" s="1">
        <v>44848</v>
      </c>
      <c r="B956">
        <v>131</v>
      </c>
      <c r="C956">
        <v>131.78999300000001</v>
      </c>
      <c r="D956">
        <v>126.519997</v>
      </c>
      <c r="E956">
        <v>126.760002</v>
      </c>
      <c r="F956">
        <v>126.760002</v>
      </c>
      <c r="G956">
        <v>23559400</v>
      </c>
      <c r="H956" s="2">
        <f t="shared" si="14"/>
        <v>-2.7093339394069993E-2</v>
      </c>
      <c r="I956" s="2">
        <f>VLOOKUP(A956,AAPL!A:H,8,)</f>
        <v>-3.2240015657038268E-2</v>
      </c>
    </row>
    <row r="957" spans="1:9" x14ac:dyDescent="0.35">
      <c r="A957" s="1">
        <v>44851</v>
      </c>
      <c r="B957">
        <v>130.300003</v>
      </c>
      <c r="C957">
        <v>134.78999300000001</v>
      </c>
      <c r="D957">
        <v>130.179993</v>
      </c>
      <c r="E957">
        <v>134.03999300000001</v>
      </c>
      <c r="F957">
        <v>134.03999300000001</v>
      </c>
      <c r="G957">
        <v>29612200</v>
      </c>
      <c r="H957" s="2">
        <f t="shared" si="14"/>
        <v>5.7431294455170478E-2</v>
      </c>
      <c r="I957" s="2">
        <f>VLOOKUP(A957,AAPL!A:H,8,)</f>
        <v>2.9122697314543311E-2</v>
      </c>
    </row>
    <row r="958" spans="1:9" x14ac:dyDescent="0.35">
      <c r="A958" s="1">
        <v>44852</v>
      </c>
      <c r="B958">
        <v>137.08999600000001</v>
      </c>
      <c r="C958">
        <v>137.83999600000001</v>
      </c>
      <c r="D958">
        <v>131.39999399999999</v>
      </c>
      <c r="E958">
        <v>132.800003</v>
      </c>
      <c r="F958">
        <v>132.800003</v>
      </c>
      <c r="G958">
        <v>25445000</v>
      </c>
      <c r="H958" s="2">
        <f t="shared" si="14"/>
        <v>-9.2508957382593238E-3</v>
      </c>
      <c r="I958" s="2">
        <f>VLOOKUP(A958,AAPL!A:H,8,)</f>
        <v>9.409423231250047E-3</v>
      </c>
    </row>
    <row r="959" spans="1:9" x14ac:dyDescent="0.35">
      <c r="A959" s="1">
        <v>44853</v>
      </c>
      <c r="B959">
        <v>132.88999899999999</v>
      </c>
      <c r="C959">
        <v>137</v>
      </c>
      <c r="D959">
        <v>132.220001</v>
      </c>
      <c r="E959">
        <v>133.229996</v>
      </c>
      <c r="F959">
        <v>133.229996</v>
      </c>
      <c r="G959">
        <v>30691000</v>
      </c>
      <c r="H959" s="2">
        <f t="shared" si="14"/>
        <v>3.2378990232402316E-3</v>
      </c>
      <c r="I959" s="2">
        <f>VLOOKUP(A959,AAPL!A:H,8,)</f>
        <v>7.6522434782622106E-4</v>
      </c>
    </row>
    <row r="960" spans="1:9" x14ac:dyDescent="0.35">
      <c r="A960" s="1">
        <v>44854</v>
      </c>
      <c r="B960">
        <v>132.929993</v>
      </c>
      <c r="C960">
        <v>136.770004</v>
      </c>
      <c r="D960">
        <v>131.30999800000001</v>
      </c>
      <c r="E960">
        <v>131.529999</v>
      </c>
      <c r="F960">
        <v>131.529999</v>
      </c>
      <c r="G960">
        <v>26356300</v>
      </c>
      <c r="H960" s="2">
        <f t="shared" si="14"/>
        <v>-1.27598667795501E-2</v>
      </c>
      <c r="I960" s="2">
        <f>VLOOKUP(A960,AAPL!A:H,8,)</f>
        <v>-3.2670790819750994E-3</v>
      </c>
    </row>
    <row r="961" spans="1:9" x14ac:dyDescent="0.35">
      <c r="A961" s="1">
        <v>44855</v>
      </c>
      <c r="B961">
        <v>126.30999799999999</v>
      </c>
      <c r="C961">
        <v>130.11999499999999</v>
      </c>
      <c r="D961">
        <v>125.44000200000001</v>
      </c>
      <c r="E961">
        <v>130.009995</v>
      </c>
      <c r="F961">
        <v>130.009995</v>
      </c>
      <c r="G961">
        <v>46348600</v>
      </c>
      <c r="H961" s="2">
        <f t="shared" si="14"/>
        <v>-1.1556329442380719E-2</v>
      </c>
      <c r="I961" s="2">
        <f>VLOOKUP(A961,AAPL!A:H,8,)</f>
        <v>2.7059104728775374E-2</v>
      </c>
    </row>
    <row r="962" spans="1:9" x14ac:dyDescent="0.35">
      <c r="A962" s="1">
        <v>44858</v>
      </c>
      <c r="B962">
        <v>127.25</v>
      </c>
      <c r="C962">
        <v>133.479996</v>
      </c>
      <c r="D962">
        <v>124.57</v>
      </c>
      <c r="E962">
        <v>129.720001</v>
      </c>
      <c r="F962">
        <v>129.720001</v>
      </c>
      <c r="G962">
        <v>63563400</v>
      </c>
      <c r="H962" s="2">
        <f t="shared" si="14"/>
        <v>-2.2305515818226151E-3</v>
      </c>
      <c r="I962" s="2">
        <f>VLOOKUP(A962,AAPL!A:H,8,)</f>
        <v>1.4802695326877169E-2</v>
      </c>
    </row>
    <row r="963" spans="1:9" x14ac:dyDescent="0.35">
      <c r="A963" s="1">
        <v>44859</v>
      </c>
      <c r="B963">
        <v>130.88000500000001</v>
      </c>
      <c r="C963">
        <v>138.35000600000001</v>
      </c>
      <c r="D963">
        <v>130.58999600000001</v>
      </c>
      <c r="E963">
        <v>137.509995</v>
      </c>
      <c r="F963">
        <v>137.509995</v>
      </c>
      <c r="G963">
        <v>38433200</v>
      </c>
      <c r="H963" s="2">
        <f t="shared" si="14"/>
        <v>6.0052373881804177E-2</v>
      </c>
      <c r="I963" s="2">
        <f>VLOOKUP(A963,AAPL!A:H,8,)</f>
        <v>1.9337564790985029E-2</v>
      </c>
    </row>
    <row r="964" spans="1:9" x14ac:dyDescent="0.35">
      <c r="A964" s="1">
        <v>44860</v>
      </c>
      <c r="B964">
        <v>131.679993</v>
      </c>
      <c r="C964">
        <v>135.550003</v>
      </c>
      <c r="D964">
        <v>128.529999</v>
      </c>
      <c r="E964">
        <v>129.820007</v>
      </c>
      <c r="F964">
        <v>129.820007</v>
      </c>
      <c r="G964">
        <v>82791500</v>
      </c>
      <c r="H964" s="2">
        <f t="shared" ref="H964:H1006" si="15">E964/E963-1</f>
        <v>-5.5923120352087907E-2</v>
      </c>
      <c r="I964" s="2">
        <f>VLOOKUP(A964,AAPL!A:H,8,)</f>
        <v>-1.9627084669215811E-2</v>
      </c>
    </row>
    <row r="965" spans="1:9" x14ac:dyDescent="0.35">
      <c r="A965" s="1">
        <v>44861</v>
      </c>
      <c r="B965">
        <v>97.980002999999996</v>
      </c>
      <c r="C965">
        <v>102.5</v>
      </c>
      <c r="D965">
        <v>96.379997000000003</v>
      </c>
      <c r="E965">
        <v>97.940002000000007</v>
      </c>
      <c r="F965">
        <v>97.940002000000007</v>
      </c>
      <c r="G965">
        <v>232316600</v>
      </c>
      <c r="H965" s="2">
        <f t="shared" si="15"/>
        <v>-0.24557081559855409</v>
      </c>
      <c r="I965" s="2">
        <f>VLOOKUP(A965,AAPL!A:H,8,)</f>
        <v>-3.0465368712472629E-2</v>
      </c>
    </row>
    <row r="966" spans="1:9" x14ac:dyDescent="0.35">
      <c r="A966" s="1">
        <v>44862</v>
      </c>
      <c r="B966">
        <v>99.580001999999993</v>
      </c>
      <c r="C966">
        <v>100.849998</v>
      </c>
      <c r="D966">
        <v>97.510002</v>
      </c>
      <c r="E966">
        <v>99.199996999999996</v>
      </c>
      <c r="F966">
        <v>99.199996999999996</v>
      </c>
      <c r="G966">
        <v>95928300</v>
      </c>
      <c r="H966" s="2">
        <f t="shared" si="15"/>
        <v>1.2864968085256834E-2</v>
      </c>
      <c r="I966" s="2">
        <f>VLOOKUP(A966,AAPL!A:H,8,)</f>
        <v>7.5552498434685811E-2</v>
      </c>
    </row>
    <row r="967" spans="1:9" x14ac:dyDescent="0.35">
      <c r="A967" s="1">
        <v>44865</v>
      </c>
      <c r="B967">
        <v>98.220000999999996</v>
      </c>
      <c r="C967">
        <v>99.32</v>
      </c>
      <c r="D967">
        <v>92.599997999999999</v>
      </c>
      <c r="E967">
        <v>93.160004000000001</v>
      </c>
      <c r="F967">
        <v>93.160004000000001</v>
      </c>
      <c r="G967">
        <v>121361400</v>
      </c>
      <c r="H967" s="2">
        <f t="shared" si="15"/>
        <v>-6.0887028051018977E-2</v>
      </c>
      <c r="I967" s="2">
        <f>VLOOKUP(A967,AAPL!A:H,8,)</f>
        <v>-1.5410356510518808E-2</v>
      </c>
    </row>
    <row r="968" spans="1:9" x14ac:dyDescent="0.35">
      <c r="A968" s="1">
        <v>44866</v>
      </c>
      <c r="B968">
        <v>94.330001999999993</v>
      </c>
      <c r="C968">
        <v>97.489998</v>
      </c>
      <c r="D968">
        <v>93.550003000000004</v>
      </c>
      <c r="E968">
        <v>95.199996999999996</v>
      </c>
      <c r="F968">
        <v>95.199996999999996</v>
      </c>
      <c r="G968">
        <v>110189600</v>
      </c>
      <c r="H968" s="2">
        <f t="shared" si="15"/>
        <v>2.189773413921281E-2</v>
      </c>
      <c r="I968" s="2">
        <f>VLOOKUP(A968,AAPL!A:H,8,)</f>
        <v>-1.7542729034635052E-2</v>
      </c>
    </row>
    <row r="969" spans="1:9" x14ac:dyDescent="0.35">
      <c r="A969" s="1">
        <v>44867</v>
      </c>
      <c r="B969">
        <v>94.209998999999996</v>
      </c>
      <c r="C969">
        <v>95.199996999999996</v>
      </c>
      <c r="D969">
        <v>90.480002999999996</v>
      </c>
      <c r="E969">
        <v>90.540001000000004</v>
      </c>
      <c r="F969">
        <v>90.540001000000004</v>
      </c>
      <c r="G969">
        <v>71821100</v>
      </c>
      <c r="H969" s="2">
        <f t="shared" si="15"/>
        <v>-4.8949539357653449E-2</v>
      </c>
      <c r="I969" s="2">
        <f>VLOOKUP(A969,AAPL!A:H,8,)</f>
        <v>-3.7304979912577974E-2</v>
      </c>
    </row>
    <row r="970" spans="1:9" x14ac:dyDescent="0.35">
      <c r="A970" s="1">
        <v>44868</v>
      </c>
      <c r="B970">
        <v>90.080001999999993</v>
      </c>
      <c r="C970">
        <v>90.459998999999996</v>
      </c>
      <c r="D970">
        <v>88.410004000000001</v>
      </c>
      <c r="E970">
        <v>88.910004000000001</v>
      </c>
      <c r="F970">
        <v>88.910004000000001</v>
      </c>
      <c r="G970">
        <v>60664000</v>
      </c>
      <c r="H970" s="2">
        <f t="shared" si="15"/>
        <v>-1.8003059222409412E-2</v>
      </c>
      <c r="I970" s="2">
        <f>VLOOKUP(A970,AAPL!A:H,8,)</f>
        <v>-4.240497857274339E-2</v>
      </c>
    </row>
    <row r="971" spans="1:9" x14ac:dyDescent="0.35">
      <c r="A971" s="1">
        <v>44869</v>
      </c>
      <c r="B971">
        <v>90.349997999999999</v>
      </c>
      <c r="C971">
        <v>91.389999000000003</v>
      </c>
      <c r="D971">
        <v>88.089995999999999</v>
      </c>
      <c r="E971">
        <v>90.790001000000004</v>
      </c>
      <c r="F971">
        <v>90.790001000000004</v>
      </c>
      <c r="G971">
        <v>55638100</v>
      </c>
      <c r="H971" s="2">
        <f t="shared" si="15"/>
        <v>2.1144943374426184E-2</v>
      </c>
      <c r="I971" s="2">
        <f>VLOOKUP(A971,AAPL!A:H,8,)</f>
        <v>-3.6002302851300128E-3</v>
      </c>
    </row>
    <row r="972" spans="1:9" x14ac:dyDescent="0.35">
      <c r="A972" s="1">
        <v>44872</v>
      </c>
      <c r="B972">
        <v>94.779999000000004</v>
      </c>
      <c r="C972">
        <v>96.879997000000003</v>
      </c>
      <c r="D972">
        <v>93.099997999999999</v>
      </c>
      <c r="E972">
        <v>96.720000999999996</v>
      </c>
      <c r="F972">
        <v>96.720000999999996</v>
      </c>
      <c r="G972">
        <v>81987300</v>
      </c>
      <c r="H972" s="2">
        <f t="shared" si="15"/>
        <v>6.5315562668624594E-2</v>
      </c>
      <c r="I972" s="2">
        <f>VLOOKUP(A972,AAPL!A:H,8,)</f>
        <v>3.9022472936027786E-3</v>
      </c>
    </row>
    <row r="973" spans="1:9" x14ac:dyDescent="0.35">
      <c r="A973" s="1">
        <v>44873</v>
      </c>
      <c r="B973">
        <v>95.919998000000007</v>
      </c>
      <c r="C973">
        <v>97.800003000000004</v>
      </c>
      <c r="D973">
        <v>94.790001000000004</v>
      </c>
      <c r="E973">
        <v>96.470000999999996</v>
      </c>
      <c r="F973">
        <v>96.470000999999996</v>
      </c>
      <c r="G973">
        <v>52088300</v>
      </c>
      <c r="H973" s="2">
        <f t="shared" si="15"/>
        <v>-2.5847807838629278E-3</v>
      </c>
      <c r="I973" s="2">
        <f>VLOOKUP(A973,AAPL!A:H,8,)</f>
        <v>4.1750792423709271E-3</v>
      </c>
    </row>
    <row r="974" spans="1:9" x14ac:dyDescent="0.35">
      <c r="A974" s="1">
        <v>44874</v>
      </c>
      <c r="B974">
        <v>101.720001</v>
      </c>
      <c r="C974">
        <v>104.900002</v>
      </c>
      <c r="D974">
        <v>100.739998</v>
      </c>
      <c r="E974">
        <v>101.470001</v>
      </c>
      <c r="F974">
        <v>101.470001</v>
      </c>
      <c r="G974">
        <v>107677300</v>
      </c>
      <c r="H974" s="2">
        <f t="shared" si="15"/>
        <v>5.1829583789472444E-2</v>
      </c>
      <c r="I974" s="2">
        <f>VLOOKUP(A974,AAPL!A:H,8,)</f>
        <v>-3.3190000000000053E-2</v>
      </c>
    </row>
    <row r="975" spans="1:9" x14ac:dyDescent="0.35">
      <c r="A975" s="1">
        <v>44875</v>
      </c>
      <c r="B975">
        <v>107.120003</v>
      </c>
      <c r="C975">
        <v>112.75</v>
      </c>
      <c r="D975">
        <v>104.610001</v>
      </c>
      <c r="E975">
        <v>111.870003</v>
      </c>
      <c r="F975">
        <v>111.870003</v>
      </c>
      <c r="G975">
        <v>80671000</v>
      </c>
      <c r="H975" s="2">
        <f t="shared" si="15"/>
        <v>0.10249336648769725</v>
      </c>
      <c r="I975" s="2">
        <f>VLOOKUP(A975,AAPL!A:H,8,)</f>
        <v>8.8974571401148284E-2</v>
      </c>
    </row>
    <row r="976" spans="1:9" x14ac:dyDescent="0.35">
      <c r="A976" s="1">
        <v>44876</v>
      </c>
      <c r="B976">
        <v>109.230003</v>
      </c>
      <c r="C976">
        <v>114.900002</v>
      </c>
      <c r="D976">
        <v>108.80999799999999</v>
      </c>
      <c r="E976">
        <v>113.019997</v>
      </c>
      <c r="F976">
        <v>113.019997</v>
      </c>
      <c r="G976">
        <v>59961700</v>
      </c>
      <c r="H976" s="2">
        <f t="shared" si="15"/>
        <v>1.0279735131499157E-2</v>
      </c>
      <c r="I976" s="2">
        <f>VLOOKUP(A976,AAPL!A:H,8,)</f>
        <v>1.9268755336990351E-2</v>
      </c>
    </row>
    <row r="977" spans="1:9" x14ac:dyDescent="0.35">
      <c r="A977" s="1">
        <v>44879</v>
      </c>
      <c r="B977">
        <v>110.989998</v>
      </c>
      <c r="C977">
        <v>116.269997</v>
      </c>
      <c r="D977">
        <v>110.800003</v>
      </c>
      <c r="E977">
        <v>114.220001</v>
      </c>
      <c r="F977">
        <v>114.220001</v>
      </c>
      <c r="G977">
        <v>53395000</v>
      </c>
      <c r="H977" s="2">
        <f t="shared" si="15"/>
        <v>1.0617625480913828E-2</v>
      </c>
      <c r="I977" s="2">
        <f>VLOOKUP(A977,AAPL!A:H,8,)</f>
        <v>-9.4856247725909615E-3</v>
      </c>
    </row>
    <row r="978" spans="1:9" x14ac:dyDescent="0.35">
      <c r="A978" s="1">
        <v>44880</v>
      </c>
      <c r="B978">
        <v>116.07</v>
      </c>
      <c r="C978">
        <v>118.739998</v>
      </c>
      <c r="D978">
        <v>114.410004</v>
      </c>
      <c r="E978">
        <v>117.08000199999999</v>
      </c>
      <c r="F978">
        <v>117.08000199999999</v>
      </c>
      <c r="G978">
        <v>50670500</v>
      </c>
      <c r="H978" s="2">
        <f t="shared" si="15"/>
        <v>2.5039406189464097E-2</v>
      </c>
      <c r="I978" s="2">
        <f>VLOOKUP(A978,AAPL!A:H,8,)</f>
        <v>1.1869395817840633E-2</v>
      </c>
    </row>
    <row r="979" spans="1:9" x14ac:dyDescent="0.35">
      <c r="A979" s="1">
        <v>44881</v>
      </c>
      <c r="B979">
        <v>114.5</v>
      </c>
      <c r="C979">
        <v>116.08000199999999</v>
      </c>
      <c r="D979">
        <v>112.660004</v>
      </c>
      <c r="E979">
        <v>113.230003</v>
      </c>
      <c r="F979">
        <v>113.230003</v>
      </c>
      <c r="G979">
        <v>33287800</v>
      </c>
      <c r="H979" s="2">
        <f t="shared" si="15"/>
        <v>-3.2883489359694429E-2</v>
      </c>
      <c r="I979" s="2">
        <f>VLOOKUP(A979,AAPL!A:H,8,)</f>
        <v>-8.3311120922272552E-3</v>
      </c>
    </row>
    <row r="980" spans="1:9" x14ac:dyDescent="0.35">
      <c r="A980" s="1">
        <v>44882</v>
      </c>
      <c r="B980">
        <v>110.410004</v>
      </c>
      <c r="C980">
        <v>112.33000199999999</v>
      </c>
      <c r="D980">
        <v>109.800003</v>
      </c>
      <c r="E980">
        <v>111.449997</v>
      </c>
      <c r="F980">
        <v>111.449997</v>
      </c>
      <c r="G980">
        <v>35093800</v>
      </c>
      <c r="H980" s="2">
        <f t="shared" si="15"/>
        <v>-1.5720268063580289E-2</v>
      </c>
      <c r="I980" s="2">
        <f>VLOOKUP(A980,AAPL!A:H,8,)</f>
        <v>1.2971356212107432E-2</v>
      </c>
    </row>
    <row r="981" spans="1:9" x14ac:dyDescent="0.35">
      <c r="A981" s="1">
        <v>44883</v>
      </c>
      <c r="B981">
        <v>113.800003</v>
      </c>
      <c r="C981">
        <v>114.32</v>
      </c>
      <c r="D981">
        <v>110.620003</v>
      </c>
      <c r="E981">
        <v>112.050003</v>
      </c>
      <c r="F981">
        <v>112.050003</v>
      </c>
      <c r="G981">
        <v>33357700</v>
      </c>
      <c r="H981" s="2">
        <f t="shared" si="15"/>
        <v>5.3836340614707989E-3</v>
      </c>
      <c r="I981" s="2">
        <f>VLOOKUP(A981,AAPL!A:H,8,)</f>
        <v>3.7817940301103636E-3</v>
      </c>
    </row>
    <row r="982" spans="1:9" x14ac:dyDescent="0.35">
      <c r="A982" s="1">
        <v>44886</v>
      </c>
      <c r="B982">
        <v>111.519997</v>
      </c>
      <c r="C982">
        <v>112.370003</v>
      </c>
      <c r="D982">
        <v>109.19000200000001</v>
      </c>
      <c r="E982">
        <v>109.860001</v>
      </c>
      <c r="F982">
        <v>109.860001</v>
      </c>
      <c r="G982">
        <v>24351100</v>
      </c>
      <c r="H982" s="2">
        <f t="shared" si="15"/>
        <v>-1.9544863376755206E-2</v>
      </c>
      <c r="I982" s="2">
        <f>VLOOKUP(A982,AAPL!A:H,8,)</f>
        <v>-2.1680204585639795E-2</v>
      </c>
    </row>
    <row r="983" spans="1:9" x14ac:dyDescent="0.35">
      <c r="A983" s="1">
        <v>44887</v>
      </c>
      <c r="B983">
        <v>109.860001</v>
      </c>
      <c r="C983">
        <v>111.620003</v>
      </c>
      <c r="D983">
        <v>108.32</v>
      </c>
      <c r="E983">
        <v>111.44000200000001</v>
      </c>
      <c r="F983">
        <v>111.44000200000001</v>
      </c>
      <c r="G983">
        <v>29029000</v>
      </c>
      <c r="H983" s="2">
        <f t="shared" si="15"/>
        <v>1.4381949623321066E-2</v>
      </c>
      <c r="I983" s="2">
        <f>VLOOKUP(A983,AAPL!A:H,8,)</f>
        <v>1.4661158525138829E-2</v>
      </c>
    </row>
    <row r="984" spans="1:9" x14ac:dyDescent="0.35">
      <c r="A984" s="1">
        <v>44888</v>
      </c>
      <c r="B984">
        <v>111.720001</v>
      </c>
      <c r="C984">
        <v>112.66999800000001</v>
      </c>
      <c r="D984">
        <v>110.730003</v>
      </c>
      <c r="E984">
        <v>112.239998</v>
      </c>
      <c r="F984">
        <v>112.239998</v>
      </c>
      <c r="G984">
        <v>21343100</v>
      </c>
      <c r="H984" s="2">
        <f t="shared" si="15"/>
        <v>7.1787148747537444E-3</v>
      </c>
      <c r="I984" s="2">
        <f>VLOOKUP(A984,AAPL!A:H,8,)</f>
        <v>5.9263153647903799E-3</v>
      </c>
    </row>
    <row r="985" spans="1:9" x14ac:dyDescent="0.35">
      <c r="A985" s="1">
        <v>44890</v>
      </c>
      <c r="B985">
        <v>111.300003</v>
      </c>
      <c r="C985">
        <v>112.730003</v>
      </c>
      <c r="D985">
        <v>111.019997</v>
      </c>
      <c r="E985">
        <v>111.410004</v>
      </c>
      <c r="F985">
        <v>111.410004</v>
      </c>
      <c r="G985">
        <v>12007600</v>
      </c>
      <c r="H985" s="2">
        <f t="shared" si="15"/>
        <v>-7.3948148145903669E-3</v>
      </c>
      <c r="I985" s="2">
        <f>VLOOKUP(A985,AAPL!A:H,8,)</f>
        <v>-1.9593604705399836E-2</v>
      </c>
    </row>
    <row r="986" spans="1:9" x14ac:dyDescent="0.35">
      <c r="A986" s="1">
        <v>44893</v>
      </c>
      <c r="B986">
        <v>110.779999</v>
      </c>
      <c r="C986">
        <v>112.040001</v>
      </c>
      <c r="D986">
        <v>108.379997</v>
      </c>
      <c r="E986">
        <v>108.779999</v>
      </c>
      <c r="F986">
        <v>108.779999</v>
      </c>
      <c r="G986">
        <v>23309400</v>
      </c>
      <c r="H986" s="2">
        <f t="shared" si="15"/>
        <v>-2.3606542550703047E-2</v>
      </c>
      <c r="I986" s="2">
        <f>VLOOKUP(A986,AAPL!A:H,8,)</f>
        <v>-2.6264262870405508E-2</v>
      </c>
    </row>
    <row r="987" spans="1:9" x14ac:dyDescent="0.35">
      <c r="A987" s="1">
        <v>44894</v>
      </c>
      <c r="B987">
        <v>109.540001</v>
      </c>
      <c r="C987">
        <v>110.94000200000001</v>
      </c>
      <c r="D987">
        <v>108.540001</v>
      </c>
      <c r="E987">
        <v>109.459999</v>
      </c>
      <c r="F987">
        <v>109.459999</v>
      </c>
      <c r="G987">
        <v>23899200</v>
      </c>
      <c r="H987" s="2">
        <f t="shared" si="15"/>
        <v>6.2511491657579743E-3</v>
      </c>
      <c r="I987" s="2">
        <f>VLOOKUP(A987,AAPL!A:H,8,)</f>
        <v>-2.114826639059586E-2</v>
      </c>
    </row>
    <row r="988" spans="1:9" x14ac:dyDescent="0.35">
      <c r="A988" s="1">
        <v>44895</v>
      </c>
      <c r="B988">
        <v>109.510002</v>
      </c>
      <c r="C988">
        <v>118.160004</v>
      </c>
      <c r="D988">
        <v>109.379997</v>
      </c>
      <c r="E988">
        <v>118.099998</v>
      </c>
      <c r="F988">
        <v>118.099998</v>
      </c>
      <c r="G988">
        <v>43348600</v>
      </c>
      <c r="H988" s="2">
        <f t="shared" si="15"/>
        <v>7.8932935126374337E-2</v>
      </c>
      <c r="I988" s="2">
        <f>VLOOKUP(A988,AAPL!A:H,8,)</f>
        <v>4.8593901658906313E-2</v>
      </c>
    </row>
    <row r="989" spans="1:9" x14ac:dyDescent="0.35">
      <c r="A989" s="1">
        <v>44896</v>
      </c>
      <c r="B989">
        <v>119.199997</v>
      </c>
      <c r="C989">
        <v>121.199997</v>
      </c>
      <c r="D989">
        <v>118.400002</v>
      </c>
      <c r="E989">
        <v>120.44000200000001</v>
      </c>
      <c r="F989">
        <v>120.44000200000001</v>
      </c>
      <c r="G989">
        <v>36551400</v>
      </c>
      <c r="H989" s="2">
        <f t="shared" si="15"/>
        <v>1.9813751393967127E-2</v>
      </c>
      <c r="I989" s="2">
        <f>VLOOKUP(A989,AAPL!A:H,8,)</f>
        <v>1.8915017354015351E-3</v>
      </c>
    </row>
    <row r="990" spans="1:9" x14ac:dyDescent="0.35">
      <c r="A990" s="1">
        <v>44897</v>
      </c>
      <c r="B990">
        <v>117.83000199999999</v>
      </c>
      <c r="C990">
        <v>124.040001</v>
      </c>
      <c r="D990">
        <v>117.610001</v>
      </c>
      <c r="E990">
        <v>123.489998</v>
      </c>
      <c r="F990">
        <v>123.489998</v>
      </c>
      <c r="G990">
        <v>39875100</v>
      </c>
      <c r="H990" s="2">
        <f t="shared" si="15"/>
        <v>2.5323779054736262E-2</v>
      </c>
      <c r="I990" s="2">
        <f>VLOOKUP(A990,AAPL!A:H,8,)</f>
        <v>-3.3713168818193529E-3</v>
      </c>
    </row>
    <row r="991" spans="1:9" x14ac:dyDescent="0.35">
      <c r="A991" s="1">
        <v>44900</v>
      </c>
      <c r="B991">
        <v>121.75</v>
      </c>
      <c r="C991">
        <v>124.66999800000001</v>
      </c>
      <c r="D991">
        <v>121.349998</v>
      </c>
      <c r="E991">
        <v>122.43</v>
      </c>
      <c r="F991">
        <v>122.43</v>
      </c>
      <c r="G991">
        <v>35474900</v>
      </c>
      <c r="H991" s="2">
        <f t="shared" si="15"/>
        <v>-8.5836749304991633E-3</v>
      </c>
      <c r="I991" s="2">
        <f>VLOOKUP(A991,AAPL!A:H,8,)</f>
        <v>-7.9831744534628601E-3</v>
      </c>
    </row>
    <row r="992" spans="1:9" x14ac:dyDescent="0.35">
      <c r="A992" s="1">
        <v>44901</v>
      </c>
      <c r="B992">
        <v>119.910004</v>
      </c>
      <c r="C992">
        <v>120.550003</v>
      </c>
      <c r="D992">
        <v>113.739998</v>
      </c>
      <c r="E992">
        <v>114.120003</v>
      </c>
      <c r="F992">
        <v>114.120003</v>
      </c>
      <c r="G992">
        <v>43689200</v>
      </c>
      <c r="H992" s="2">
        <f t="shared" si="15"/>
        <v>-6.7875496201911356E-2</v>
      </c>
      <c r="I992" s="2">
        <f>VLOOKUP(A992,AAPL!A:H,8,)</f>
        <v>-2.5369984813135793E-2</v>
      </c>
    </row>
    <row r="993" spans="1:9" x14ac:dyDescent="0.35">
      <c r="A993" s="1">
        <v>44902</v>
      </c>
      <c r="B993">
        <v>113.760002</v>
      </c>
      <c r="C993">
        <v>115.879997</v>
      </c>
      <c r="D993">
        <v>112.879997</v>
      </c>
      <c r="E993">
        <v>113.93</v>
      </c>
      <c r="F993">
        <v>113.93</v>
      </c>
      <c r="G993">
        <v>29461100</v>
      </c>
      <c r="H993" s="2">
        <f t="shared" si="15"/>
        <v>-1.6649403698314469E-3</v>
      </c>
      <c r="I993" s="2">
        <f>VLOOKUP(A993,AAPL!A:H,8,)</f>
        <v>-1.3784913196139836E-2</v>
      </c>
    </row>
    <row r="994" spans="1:9" x14ac:dyDescent="0.35">
      <c r="A994" s="1">
        <v>44903</v>
      </c>
      <c r="B994">
        <v>116.389999</v>
      </c>
      <c r="C994">
        <v>117.339996</v>
      </c>
      <c r="D994">
        <v>114.589996</v>
      </c>
      <c r="E994">
        <v>115.33000199999999</v>
      </c>
      <c r="F994">
        <v>115.33000199999999</v>
      </c>
      <c r="G994">
        <v>30619400</v>
      </c>
      <c r="H994" s="2">
        <f t="shared" si="15"/>
        <v>1.2288264723953279E-2</v>
      </c>
      <c r="I994" s="2">
        <f>VLOOKUP(A994,AAPL!A:H,8,)</f>
        <v>1.2132765543738211E-2</v>
      </c>
    </row>
    <row r="995" spans="1:9" x14ac:dyDescent="0.35">
      <c r="A995" s="1">
        <v>44904</v>
      </c>
      <c r="B995">
        <v>115.300003</v>
      </c>
      <c r="C995">
        <v>117.540001</v>
      </c>
      <c r="D995">
        <v>113.870003</v>
      </c>
      <c r="E995">
        <v>115.900002</v>
      </c>
      <c r="F995">
        <v>115.900002</v>
      </c>
      <c r="G995">
        <v>26018200</v>
      </c>
      <c r="H995" s="2">
        <f t="shared" si="15"/>
        <v>4.9423392882625983E-3</v>
      </c>
      <c r="I995" s="2">
        <f>VLOOKUP(A995,AAPL!A:H,8,)</f>
        <v>-3.434910764875343E-3</v>
      </c>
    </row>
    <row r="996" spans="1:9" x14ac:dyDescent="0.35">
      <c r="A996" s="1">
        <v>44907</v>
      </c>
      <c r="B996">
        <v>115.18</v>
      </c>
      <c r="C996">
        <v>115.720001</v>
      </c>
      <c r="D996">
        <v>113.139999</v>
      </c>
      <c r="E996">
        <v>114.709999</v>
      </c>
      <c r="F996">
        <v>114.709999</v>
      </c>
      <c r="G996">
        <v>24747100</v>
      </c>
      <c r="H996" s="2">
        <f t="shared" si="15"/>
        <v>-1.0267497665789604E-2</v>
      </c>
      <c r="I996" s="2">
        <f>VLOOKUP(A996,AAPL!A:H,8,)</f>
        <v>1.6389989690771323E-2</v>
      </c>
    </row>
    <row r="997" spans="1:9" x14ac:dyDescent="0.35">
      <c r="A997" s="1">
        <v>44908</v>
      </c>
      <c r="B997">
        <v>122.129997</v>
      </c>
      <c r="C997">
        <v>123.300003</v>
      </c>
      <c r="D997">
        <v>118.639999</v>
      </c>
      <c r="E997">
        <v>120.150002</v>
      </c>
      <c r="F997">
        <v>120.150002</v>
      </c>
      <c r="G997">
        <v>44701100</v>
      </c>
      <c r="H997" s="2">
        <f t="shared" si="15"/>
        <v>4.7423965194176354E-2</v>
      </c>
      <c r="I997" s="2">
        <f>VLOOKUP(A997,AAPL!A:H,8,)</f>
        <v>6.7824483776577349E-3</v>
      </c>
    </row>
    <row r="998" spans="1:9" x14ac:dyDescent="0.35">
      <c r="A998" s="1">
        <v>44909</v>
      </c>
      <c r="B998">
        <v>119.389999</v>
      </c>
      <c r="C998">
        <v>124.139999</v>
      </c>
      <c r="D998">
        <v>119.389999</v>
      </c>
      <c r="E998">
        <v>121.589996</v>
      </c>
      <c r="F998">
        <v>121.589996</v>
      </c>
      <c r="G998">
        <v>36922000</v>
      </c>
      <c r="H998" s="2">
        <f t="shared" si="15"/>
        <v>1.19849685895137E-2</v>
      </c>
      <c r="I998" s="2">
        <f>VLOOKUP(A998,AAPL!A:H,8,)</f>
        <v>-1.5535807963595216E-2</v>
      </c>
    </row>
    <row r="999" spans="1:9" x14ac:dyDescent="0.35">
      <c r="A999" s="1">
        <v>44910</v>
      </c>
      <c r="B999">
        <v>118.33000199999999</v>
      </c>
      <c r="C999">
        <v>118.629997</v>
      </c>
      <c r="D999">
        <v>114.010002</v>
      </c>
      <c r="E999">
        <v>116.150002</v>
      </c>
      <c r="F999">
        <v>116.150002</v>
      </c>
      <c r="G999">
        <v>34531000</v>
      </c>
      <c r="H999" s="2">
        <f t="shared" si="15"/>
        <v>-4.4740473550143101E-2</v>
      </c>
      <c r="I999" s="2">
        <f>VLOOKUP(A999,AAPL!A:H,8,)</f>
        <v>-4.6854316542279006E-2</v>
      </c>
    </row>
    <row r="1000" spans="1:9" x14ac:dyDescent="0.35">
      <c r="A1000" s="1">
        <v>44911</v>
      </c>
      <c r="B1000">
        <v>120.230003</v>
      </c>
      <c r="C1000">
        <v>123.30999799999999</v>
      </c>
      <c r="D1000">
        <v>118.82</v>
      </c>
      <c r="E1000">
        <v>119.43</v>
      </c>
      <c r="F1000">
        <v>119.43</v>
      </c>
      <c r="G1000">
        <v>67045000</v>
      </c>
      <c r="H1000" s="2">
        <f t="shared" si="15"/>
        <v>2.8239327968328398E-2</v>
      </c>
      <c r="I1000" s="2">
        <f>VLOOKUP(A1000,AAPL!A:H,8,)</f>
        <v>-1.4578791208791131E-2</v>
      </c>
    </row>
    <row r="1001" spans="1:9" x14ac:dyDescent="0.35">
      <c r="A1001" s="1">
        <v>44914</v>
      </c>
      <c r="B1001">
        <v>116.83000199999999</v>
      </c>
      <c r="C1001">
        <v>117.800003</v>
      </c>
      <c r="D1001">
        <v>114.33000199999999</v>
      </c>
      <c r="E1001">
        <v>114.480003</v>
      </c>
      <c r="F1001">
        <v>114.480003</v>
      </c>
      <c r="G1001">
        <v>29769900</v>
      </c>
      <c r="H1001" s="2">
        <f t="shared" si="15"/>
        <v>-4.1446847525747343E-2</v>
      </c>
      <c r="I1001" s="2">
        <f>VLOOKUP(A1001,AAPL!A:H,8,)</f>
        <v>-1.5909598390811186E-2</v>
      </c>
    </row>
    <row r="1002" spans="1:9" x14ac:dyDescent="0.35">
      <c r="A1002" s="1">
        <v>44915</v>
      </c>
      <c r="B1002">
        <v>113.260002</v>
      </c>
      <c r="C1002">
        <v>117.33000199999999</v>
      </c>
      <c r="D1002">
        <v>112.459999</v>
      </c>
      <c r="E1002">
        <v>117.089996</v>
      </c>
      <c r="F1002">
        <v>117.089996</v>
      </c>
      <c r="G1002">
        <v>28742500</v>
      </c>
      <c r="H1002" s="2">
        <f t="shared" si="15"/>
        <v>2.2798680394863435E-2</v>
      </c>
      <c r="I1002" s="2">
        <f>VLOOKUP(A1002,AAPL!A:H,8,)</f>
        <v>-5.2876031309045946E-4</v>
      </c>
    </row>
    <row r="1003" spans="1:9" x14ac:dyDescent="0.35">
      <c r="A1003" s="1">
        <v>44916</v>
      </c>
      <c r="B1003">
        <v>116.699997</v>
      </c>
      <c r="C1003">
        <v>120.339996</v>
      </c>
      <c r="D1003">
        <v>115.620003</v>
      </c>
      <c r="E1003">
        <v>119.760002</v>
      </c>
      <c r="F1003">
        <v>119.760002</v>
      </c>
      <c r="G1003">
        <v>20392800</v>
      </c>
      <c r="H1003" s="2">
        <f t="shared" si="15"/>
        <v>2.2803024094389723E-2</v>
      </c>
      <c r="I1003" s="2">
        <f>VLOOKUP(A1003,AAPL!A:H,8,)</f>
        <v>2.3809477918152355E-2</v>
      </c>
    </row>
    <row r="1004" spans="1:9" x14ac:dyDescent="0.35">
      <c r="A1004" s="1">
        <v>44917</v>
      </c>
      <c r="B1004">
        <v>117.199997</v>
      </c>
      <c r="C1004">
        <v>118.620003</v>
      </c>
      <c r="D1004">
        <v>114.379997</v>
      </c>
      <c r="E1004">
        <v>117.120003</v>
      </c>
      <c r="F1004">
        <v>117.120003</v>
      </c>
      <c r="G1004">
        <v>23618100</v>
      </c>
      <c r="H1004" s="2">
        <f t="shared" si="15"/>
        <v>-2.2044079458181765E-2</v>
      </c>
      <c r="I1004" s="2">
        <f>VLOOKUP(A1004,AAPL!A:H,8,)</f>
        <v>-2.3772617728444856E-2</v>
      </c>
    </row>
    <row r="1005" spans="1:9" x14ac:dyDescent="0.35">
      <c r="A1005" s="1">
        <v>44918</v>
      </c>
      <c r="B1005">
        <v>116.029999</v>
      </c>
      <c r="C1005">
        <v>118.18</v>
      </c>
      <c r="D1005">
        <v>115.540001</v>
      </c>
      <c r="E1005">
        <v>118.040001</v>
      </c>
      <c r="F1005">
        <v>118.040001</v>
      </c>
      <c r="G1005">
        <v>17782900</v>
      </c>
      <c r="H1005" s="2">
        <f t="shared" si="15"/>
        <v>7.8551739791195008E-3</v>
      </c>
      <c r="I1005" s="2">
        <f>VLOOKUP(A1005,AAPL!A:H,8,)</f>
        <v>-2.798117002136058E-3</v>
      </c>
    </row>
    <row r="1006" spans="1:9" x14ac:dyDescent="0.35">
      <c r="A1006" s="1">
        <v>44922</v>
      </c>
      <c r="B1006">
        <v>117.93</v>
      </c>
      <c r="C1006">
        <v>118.599998</v>
      </c>
      <c r="D1006">
        <v>116.050003</v>
      </c>
      <c r="E1006">
        <v>116.879997</v>
      </c>
      <c r="F1006">
        <v>116.879997</v>
      </c>
      <c r="G1006">
        <v>21364100</v>
      </c>
      <c r="H1006" s="2">
        <f t="shared" si="15"/>
        <v>-9.8272110316230954E-3</v>
      </c>
      <c r="I1006" s="2">
        <f>VLOOKUP(A1006,AAPL!A:H,8,)</f>
        <v>-1.3878370894294223E-2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croll Bar 1">
              <controlPr defaultSize="0" autoPict="0" macro="[0]!ScrollBar1_Change">
                <anchor moveWithCells="1">
                  <from>
                    <xdr:col>12</xdr:col>
                    <xdr:colOff>120650</xdr:colOff>
                    <xdr:row>6</xdr:row>
                    <xdr:rowOff>25400</xdr:rowOff>
                  </from>
                  <to>
                    <xdr:col>12</xdr:col>
                    <xdr:colOff>1473200</xdr:colOff>
                    <xdr:row>6</xdr:row>
                    <xdr:rowOff>311150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Scroll Bar 3">
              <controlPr defaultSize="0" autoPict="0">
                <anchor moveWithCells="1">
                  <from>
                    <xdr:col>12</xdr:col>
                    <xdr:colOff>114300</xdr:colOff>
                    <xdr:row>8</xdr:row>
                    <xdr:rowOff>25400</xdr:rowOff>
                  </from>
                  <to>
                    <xdr:col>12</xdr:col>
                    <xdr:colOff>1466850</xdr:colOff>
                    <xdr:row>8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6"/>
  <sheetViews>
    <sheetView workbookViewId="0">
      <selection activeCell="H2" sqref="H2"/>
    </sheetView>
  </sheetViews>
  <sheetFormatPr defaultRowHeight="14.5" x14ac:dyDescent="0.35"/>
  <cols>
    <col min="1" max="1" width="10.453125" bestFit="1" customWidth="1"/>
    <col min="7" max="7" width="9.81640625" bestFit="1" customWidth="1"/>
    <col min="8" max="8" width="16.6328125" style="2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8</v>
      </c>
    </row>
    <row r="2" spans="1:8" x14ac:dyDescent="0.35">
      <c r="A2" s="1">
        <v>43467</v>
      </c>
      <c r="B2">
        <v>38.722499999999997</v>
      </c>
      <c r="C2">
        <v>39.712502000000001</v>
      </c>
      <c r="D2">
        <v>38.557499</v>
      </c>
      <c r="E2">
        <v>39.479999999999997</v>
      </c>
      <c r="F2">
        <v>38.105133000000002</v>
      </c>
      <c r="G2">
        <v>148158800</v>
      </c>
      <c r="H2" s="2">
        <v>0</v>
      </c>
    </row>
    <row r="3" spans="1:8" x14ac:dyDescent="0.35">
      <c r="A3" s="1">
        <v>43468</v>
      </c>
      <c r="B3">
        <v>35.994999</v>
      </c>
      <c r="C3">
        <v>36.43</v>
      </c>
      <c r="D3">
        <v>35.5</v>
      </c>
      <c r="E3">
        <v>35.547500999999997</v>
      </c>
      <c r="F3">
        <v>34.309573999999998</v>
      </c>
      <c r="G3">
        <v>365248800</v>
      </c>
      <c r="H3" s="2">
        <f>E3/E2-1</f>
        <v>-9.9607370820668728E-2</v>
      </c>
    </row>
    <row r="4" spans="1:8" x14ac:dyDescent="0.35">
      <c r="A4" s="1">
        <v>43469</v>
      </c>
      <c r="B4">
        <v>36.1325</v>
      </c>
      <c r="C4">
        <v>37.137501</v>
      </c>
      <c r="D4">
        <v>35.950001</v>
      </c>
      <c r="E4">
        <v>37.064999</v>
      </c>
      <c r="F4">
        <v>35.774234999999997</v>
      </c>
      <c r="G4">
        <v>234428400</v>
      </c>
      <c r="H4" s="2">
        <f t="shared" ref="H4:H67" si="0">E4/E3-1</f>
        <v>4.2689301844312633E-2</v>
      </c>
    </row>
    <row r="5" spans="1:8" x14ac:dyDescent="0.35">
      <c r="A5" s="1">
        <v>43472</v>
      </c>
      <c r="B5">
        <v>37.174999</v>
      </c>
      <c r="C5">
        <v>37.207500000000003</v>
      </c>
      <c r="D5">
        <v>36.474997999999999</v>
      </c>
      <c r="E5">
        <v>36.982498</v>
      </c>
      <c r="F5">
        <v>35.694611000000002</v>
      </c>
      <c r="G5">
        <v>219111200</v>
      </c>
      <c r="H5" s="2">
        <f t="shared" si="0"/>
        <v>-2.2258465459557009E-3</v>
      </c>
    </row>
    <row r="6" spans="1:8" x14ac:dyDescent="0.35">
      <c r="A6" s="1">
        <v>43473</v>
      </c>
      <c r="B6">
        <v>37.389999000000003</v>
      </c>
      <c r="C6">
        <v>37.955002</v>
      </c>
      <c r="D6">
        <v>37.130001</v>
      </c>
      <c r="E6">
        <v>37.6875</v>
      </c>
      <c r="F6">
        <v>36.375061000000002</v>
      </c>
      <c r="G6">
        <v>164101200</v>
      </c>
      <c r="H6" s="2">
        <f t="shared" si="0"/>
        <v>1.9063125481680654E-2</v>
      </c>
    </row>
    <row r="7" spans="1:8" x14ac:dyDescent="0.35">
      <c r="A7" s="1">
        <v>43474</v>
      </c>
      <c r="B7">
        <v>37.822498000000003</v>
      </c>
      <c r="C7">
        <v>38.6325</v>
      </c>
      <c r="D7">
        <v>37.407501000000003</v>
      </c>
      <c r="E7">
        <v>38.327499000000003</v>
      </c>
      <c r="F7">
        <v>36.992764000000001</v>
      </c>
      <c r="G7">
        <v>180396400</v>
      </c>
      <c r="H7" s="2">
        <f t="shared" si="0"/>
        <v>1.6981731343283624E-2</v>
      </c>
    </row>
    <row r="8" spans="1:8" x14ac:dyDescent="0.35">
      <c r="A8" s="1">
        <v>43475</v>
      </c>
      <c r="B8">
        <v>38.125</v>
      </c>
      <c r="C8">
        <v>38.4925</v>
      </c>
      <c r="D8">
        <v>37.715000000000003</v>
      </c>
      <c r="E8">
        <v>38.450001</v>
      </c>
      <c r="F8">
        <v>37.111012000000002</v>
      </c>
      <c r="G8">
        <v>143122800</v>
      </c>
      <c r="H8" s="2">
        <f t="shared" si="0"/>
        <v>3.1961908080671009E-3</v>
      </c>
    </row>
    <row r="9" spans="1:8" x14ac:dyDescent="0.35">
      <c r="A9" s="1">
        <v>43476</v>
      </c>
      <c r="B9">
        <v>38.220001000000003</v>
      </c>
      <c r="C9">
        <v>38.424999</v>
      </c>
      <c r="D9">
        <v>37.877499</v>
      </c>
      <c r="E9">
        <v>38.072498000000003</v>
      </c>
      <c r="F9">
        <v>36.746651</v>
      </c>
      <c r="G9">
        <v>108092800</v>
      </c>
      <c r="H9" s="2">
        <f t="shared" si="0"/>
        <v>-9.8180231516767913E-3</v>
      </c>
    </row>
    <row r="10" spans="1:8" x14ac:dyDescent="0.35">
      <c r="A10" s="1">
        <v>43479</v>
      </c>
      <c r="B10">
        <v>37.712502000000001</v>
      </c>
      <c r="C10">
        <v>37.817501</v>
      </c>
      <c r="D10">
        <v>37.305</v>
      </c>
      <c r="E10">
        <v>37.5</v>
      </c>
      <c r="F10">
        <v>36.194088000000001</v>
      </c>
      <c r="G10">
        <v>129756800</v>
      </c>
      <c r="H10" s="2">
        <f t="shared" si="0"/>
        <v>-1.5037048527785202E-2</v>
      </c>
    </row>
    <row r="11" spans="1:8" x14ac:dyDescent="0.35">
      <c r="A11" s="1">
        <v>43480</v>
      </c>
      <c r="B11">
        <v>37.567501</v>
      </c>
      <c r="C11">
        <v>38.347499999999997</v>
      </c>
      <c r="D11">
        <v>37.512501</v>
      </c>
      <c r="E11">
        <v>38.267502</v>
      </c>
      <c r="F11">
        <v>36.934871999999999</v>
      </c>
      <c r="G11">
        <v>114843600</v>
      </c>
      <c r="H11" s="2">
        <f t="shared" si="0"/>
        <v>2.0466719999999938E-2</v>
      </c>
    </row>
    <row r="12" spans="1:8" x14ac:dyDescent="0.35">
      <c r="A12" s="1">
        <v>43481</v>
      </c>
      <c r="B12">
        <v>38.270000000000003</v>
      </c>
      <c r="C12">
        <v>38.970001000000003</v>
      </c>
      <c r="D12">
        <v>38.25</v>
      </c>
      <c r="E12">
        <v>38.735000999999997</v>
      </c>
      <c r="F12">
        <v>37.386077999999998</v>
      </c>
      <c r="G12">
        <v>122278800</v>
      </c>
      <c r="H12" s="2">
        <f t="shared" si="0"/>
        <v>1.2216606142726461E-2</v>
      </c>
    </row>
    <row r="13" spans="1:8" x14ac:dyDescent="0.35">
      <c r="A13" s="1">
        <v>43482</v>
      </c>
      <c r="B13">
        <v>38.549999</v>
      </c>
      <c r="C13">
        <v>39.415000999999997</v>
      </c>
      <c r="D13">
        <v>38.314999</v>
      </c>
      <c r="E13">
        <v>38.965000000000003</v>
      </c>
      <c r="F13">
        <v>37.608063000000001</v>
      </c>
      <c r="G13">
        <v>119284800</v>
      </c>
      <c r="H13" s="2">
        <f t="shared" si="0"/>
        <v>5.9377563976312775E-3</v>
      </c>
    </row>
    <row r="14" spans="1:8" x14ac:dyDescent="0.35">
      <c r="A14" s="1">
        <v>43483</v>
      </c>
      <c r="B14">
        <v>39.375</v>
      </c>
      <c r="C14">
        <v>39.470001000000003</v>
      </c>
      <c r="D14">
        <v>38.994999</v>
      </c>
      <c r="E14">
        <v>39.205002</v>
      </c>
      <c r="F14">
        <v>37.839714000000001</v>
      </c>
      <c r="G14">
        <v>135004000</v>
      </c>
      <c r="H14" s="2">
        <f t="shared" si="0"/>
        <v>6.15942512511225E-3</v>
      </c>
    </row>
    <row r="15" spans="1:8" x14ac:dyDescent="0.35">
      <c r="A15" s="1">
        <v>43487</v>
      </c>
      <c r="B15">
        <v>39.102500999999997</v>
      </c>
      <c r="C15">
        <v>39.182499</v>
      </c>
      <c r="D15">
        <v>38.154998999999997</v>
      </c>
      <c r="E15">
        <v>38.325001</v>
      </c>
      <c r="F15">
        <v>36.990352999999999</v>
      </c>
      <c r="G15">
        <v>121576000</v>
      </c>
      <c r="H15" s="2">
        <f t="shared" si="0"/>
        <v>-2.2446140928649827E-2</v>
      </c>
    </row>
    <row r="16" spans="1:8" x14ac:dyDescent="0.35">
      <c r="A16" s="1">
        <v>43488</v>
      </c>
      <c r="B16">
        <v>38.537497999999999</v>
      </c>
      <c r="C16">
        <v>38.784999999999997</v>
      </c>
      <c r="D16">
        <v>37.924999</v>
      </c>
      <c r="E16">
        <v>38.479999999999997</v>
      </c>
      <c r="F16">
        <v>37.139964999999997</v>
      </c>
      <c r="G16">
        <v>92522400</v>
      </c>
      <c r="H16" s="2">
        <f t="shared" si="0"/>
        <v>4.044331270858903E-3</v>
      </c>
    </row>
    <row r="17" spans="1:8" x14ac:dyDescent="0.35">
      <c r="A17" s="1">
        <v>43489</v>
      </c>
      <c r="B17">
        <v>38.527500000000003</v>
      </c>
      <c r="C17">
        <v>38.619999</v>
      </c>
      <c r="D17">
        <v>37.935001</v>
      </c>
      <c r="E17">
        <v>38.174999</v>
      </c>
      <c r="F17">
        <v>36.845581000000003</v>
      </c>
      <c r="G17">
        <v>101766000</v>
      </c>
      <c r="H17" s="2">
        <f t="shared" si="0"/>
        <v>-7.926221413721346E-3</v>
      </c>
    </row>
    <row r="18" spans="1:8" x14ac:dyDescent="0.35">
      <c r="A18" s="1">
        <v>43490</v>
      </c>
      <c r="B18">
        <v>38.869999</v>
      </c>
      <c r="C18">
        <v>39.532501000000003</v>
      </c>
      <c r="D18">
        <v>38.580002</v>
      </c>
      <c r="E18">
        <v>39.439999</v>
      </c>
      <c r="F18">
        <v>38.066532000000002</v>
      </c>
      <c r="G18">
        <v>134142000</v>
      </c>
      <c r="H18" s="2">
        <f t="shared" si="0"/>
        <v>3.3136870547134878E-2</v>
      </c>
    </row>
    <row r="19" spans="1:8" x14ac:dyDescent="0.35">
      <c r="A19" s="1">
        <v>43493</v>
      </c>
      <c r="B19">
        <v>38.947498000000003</v>
      </c>
      <c r="C19">
        <v>39.082500000000003</v>
      </c>
      <c r="D19">
        <v>38.415000999999997</v>
      </c>
      <c r="E19">
        <v>39.075001</v>
      </c>
      <c r="F19">
        <v>37.714236999999997</v>
      </c>
      <c r="G19">
        <v>104768400</v>
      </c>
      <c r="H19" s="2">
        <f t="shared" si="0"/>
        <v>-9.2545134192321132E-3</v>
      </c>
    </row>
    <row r="20" spans="1:8" x14ac:dyDescent="0.35">
      <c r="A20" s="1">
        <v>43494</v>
      </c>
      <c r="B20">
        <v>39.0625</v>
      </c>
      <c r="C20">
        <v>39.532501000000003</v>
      </c>
      <c r="D20">
        <v>38.527500000000003</v>
      </c>
      <c r="E20">
        <v>38.669998</v>
      </c>
      <c r="F20">
        <v>37.323345000000003</v>
      </c>
      <c r="G20">
        <v>166348800</v>
      </c>
      <c r="H20" s="2">
        <f t="shared" si="0"/>
        <v>-1.0364759811522517E-2</v>
      </c>
    </row>
    <row r="21" spans="1:8" x14ac:dyDescent="0.35">
      <c r="A21" s="1">
        <v>43495</v>
      </c>
      <c r="B21">
        <v>40.8125</v>
      </c>
      <c r="C21">
        <v>41.537497999999999</v>
      </c>
      <c r="D21">
        <v>40.057499</v>
      </c>
      <c r="E21">
        <v>41.3125</v>
      </c>
      <c r="F21">
        <v>39.873817000000003</v>
      </c>
      <c r="G21">
        <v>244439200</v>
      </c>
      <c r="H21" s="2">
        <f t="shared" si="0"/>
        <v>6.833468157924405E-2</v>
      </c>
    </row>
    <row r="22" spans="1:8" x14ac:dyDescent="0.35">
      <c r="A22" s="1">
        <v>43496</v>
      </c>
      <c r="B22">
        <v>41.527500000000003</v>
      </c>
      <c r="C22">
        <v>42.25</v>
      </c>
      <c r="D22">
        <v>41.139999000000003</v>
      </c>
      <c r="E22">
        <v>41.610000999999997</v>
      </c>
      <c r="F22">
        <v>40.160964999999997</v>
      </c>
      <c r="G22">
        <v>162958400</v>
      </c>
      <c r="H22" s="2">
        <f t="shared" si="0"/>
        <v>7.2012344931919881E-3</v>
      </c>
    </row>
    <row r="23" spans="1:8" x14ac:dyDescent="0.35">
      <c r="A23" s="1">
        <v>43497</v>
      </c>
      <c r="B23">
        <v>41.740001999999997</v>
      </c>
      <c r="C23">
        <v>42.244999</v>
      </c>
      <c r="D23">
        <v>41.482498</v>
      </c>
      <c r="E23">
        <v>41.630001</v>
      </c>
      <c r="F23">
        <v>40.180264000000001</v>
      </c>
      <c r="G23">
        <v>130672400</v>
      </c>
      <c r="H23" s="2">
        <f t="shared" si="0"/>
        <v>4.8065367746574772E-4</v>
      </c>
    </row>
    <row r="24" spans="1:8" x14ac:dyDescent="0.35">
      <c r="A24" s="1">
        <v>43500</v>
      </c>
      <c r="B24">
        <v>41.852500999999997</v>
      </c>
      <c r="C24">
        <v>42.915000999999997</v>
      </c>
      <c r="D24">
        <v>41.82</v>
      </c>
      <c r="E24">
        <v>42.8125</v>
      </c>
      <c r="F24">
        <v>41.321582999999997</v>
      </c>
      <c r="G24">
        <v>125982000</v>
      </c>
      <c r="H24" s="2">
        <f t="shared" si="0"/>
        <v>2.8404971693370751E-2</v>
      </c>
    </row>
    <row r="25" spans="1:8" x14ac:dyDescent="0.35">
      <c r="A25" s="1">
        <v>43501</v>
      </c>
      <c r="B25">
        <v>43.215000000000003</v>
      </c>
      <c r="C25">
        <v>43.77</v>
      </c>
      <c r="D25">
        <v>43.087502000000001</v>
      </c>
      <c r="E25">
        <v>43.544998</v>
      </c>
      <c r="F25">
        <v>42.028571999999997</v>
      </c>
      <c r="G25">
        <v>144406400</v>
      </c>
      <c r="H25" s="2">
        <f t="shared" si="0"/>
        <v>1.71094423357665E-2</v>
      </c>
    </row>
    <row r="26" spans="1:8" x14ac:dyDescent="0.35">
      <c r="A26" s="1">
        <v>43502</v>
      </c>
      <c r="B26">
        <v>43.662497999999999</v>
      </c>
      <c r="C26">
        <v>43.892502</v>
      </c>
      <c r="D26">
        <v>43.212502000000001</v>
      </c>
      <c r="E26">
        <v>43.560001</v>
      </c>
      <c r="F26">
        <v>42.043059999999997</v>
      </c>
      <c r="G26">
        <v>112958400</v>
      </c>
      <c r="H26" s="2">
        <f t="shared" si="0"/>
        <v>3.4454014672369304E-4</v>
      </c>
    </row>
    <row r="27" spans="1:8" x14ac:dyDescent="0.35">
      <c r="A27" s="1">
        <v>43503</v>
      </c>
      <c r="B27">
        <v>43.099997999999999</v>
      </c>
      <c r="C27">
        <v>43.485000999999997</v>
      </c>
      <c r="D27">
        <v>42.584999000000003</v>
      </c>
      <c r="E27">
        <v>42.735000999999997</v>
      </c>
      <c r="F27">
        <v>41.246788000000002</v>
      </c>
      <c r="G27">
        <v>126966800</v>
      </c>
      <c r="H27" s="2">
        <f t="shared" si="0"/>
        <v>-1.8939393504605384E-2</v>
      </c>
    </row>
    <row r="28" spans="1:8" x14ac:dyDescent="0.35">
      <c r="A28" s="1">
        <v>43504</v>
      </c>
      <c r="B28">
        <v>42.247501</v>
      </c>
      <c r="C28">
        <v>42.665000999999997</v>
      </c>
      <c r="D28">
        <v>42.104999999999997</v>
      </c>
      <c r="E28">
        <v>42.602500999999997</v>
      </c>
      <c r="F28">
        <v>41.295257999999997</v>
      </c>
      <c r="G28">
        <v>95280000</v>
      </c>
      <c r="H28" s="2">
        <f t="shared" si="0"/>
        <v>-3.1005030279512846E-3</v>
      </c>
    </row>
    <row r="29" spans="1:8" x14ac:dyDescent="0.35">
      <c r="A29" s="1">
        <v>43507</v>
      </c>
      <c r="B29">
        <v>42.762501</v>
      </c>
      <c r="C29">
        <v>42.802501999999997</v>
      </c>
      <c r="D29">
        <v>42.3125</v>
      </c>
      <c r="E29">
        <v>42.357498</v>
      </c>
      <c r="F29">
        <v>41.057774000000002</v>
      </c>
      <c r="G29">
        <v>83973600</v>
      </c>
      <c r="H29" s="2">
        <f t="shared" si="0"/>
        <v>-5.7509065019445416E-3</v>
      </c>
    </row>
    <row r="30" spans="1:8" x14ac:dyDescent="0.35">
      <c r="A30" s="1">
        <v>43508</v>
      </c>
      <c r="B30">
        <v>42.525002000000001</v>
      </c>
      <c r="C30">
        <v>42.75</v>
      </c>
      <c r="D30">
        <v>42.424999</v>
      </c>
      <c r="E30">
        <v>42.722499999999997</v>
      </c>
      <c r="F30">
        <v>41.411568000000003</v>
      </c>
      <c r="G30">
        <v>89134000</v>
      </c>
      <c r="H30" s="2">
        <f t="shared" si="0"/>
        <v>8.6171756414885614E-3</v>
      </c>
    </row>
    <row r="31" spans="1:8" x14ac:dyDescent="0.35">
      <c r="A31" s="1">
        <v>43509</v>
      </c>
      <c r="B31">
        <v>42.847499999999997</v>
      </c>
      <c r="C31">
        <v>43.119999</v>
      </c>
      <c r="D31">
        <v>42.48</v>
      </c>
      <c r="E31">
        <v>42.544998</v>
      </c>
      <c r="F31">
        <v>41.239510000000003</v>
      </c>
      <c r="G31">
        <v>89960800</v>
      </c>
      <c r="H31" s="2">
        <f t="shared" si="0"/>
        <v>-4.1547662238866634E-3</v>
      </c>
    </row>
    <row r="32" spans="1:8" x14ac:dyDescent="0.35">
      <c r="A32" s="1">
        <v>43510</v>
      </c>
      <c r="B32">
        <v>42.427501999999997</v>
      </c>
      <c r="C32">
        <v>42.814999</v>
      </c>
      <c r="D32">
        <v>42.345001000000003</v>
      </c>
      <c r="E32">
        <v>42.700001</v>
      </c>
      <c r="F32">
        <v>41.389758999999998</v>
      </c>
      <c r="G32">
        <v>87342800</v>
      </c>
      <c r="H32" s="2">
        <f t="shared" si="0"/>
        <v>3.6432720010939335E-3</v>
      </c>
    </row>
    <row r="33" spans="1:8" x14ac:dyDescent="0.35">
      <c r="A33" s="1">
        <v>43511</v>
      </c>
      <c r="B33">
        <v>42.8125</v>
      </c>
      <c r="C33">
        <v>42.924999</v>
      </c>
      <c r="D33">
        <v>42.4375</v>
      </c>
      <c r="E33">
        <v>42.604999999999997</v>
      </c>
      <c r="F33">
        <v>41.297671999999999</v>
      </c>
      <c r="G33">
        <v>98507200</v>
      </c>
      <c r="H33" s="2">
        <f t="shared" si="0"/>
        <v>-2.2248477230715213E-3</v>
      </c>
    </row>
    <row r="34" spans="1:8" x14ac:dyDescent="0.35">
      <c r="A34" s="1">
        <v>43515</v>
      </c>
      <c r="B34">
        <v>42.427501999999997</v>
      </c>
      <c r="C34">
        <v>42.860000999999997</v>
      </c>
      <c r="D34">
        <v>42.372501</v>
      </c>
      <c r="E34">
        <v>42.732498</v>
      </c>
      <c r="F34">
        <v>41.421256999999997</v>
      </c>
      <c r="G34">
        <v>75891200</v>
      </c>
      <c r="H34" s="2">
        <f t="shared" si="0"/>
        <v>2.9925595587372289E-3</v>
      </c>
    </row>
    <row r="35" spans="1:8" x14ac:dyDescent="0.35">
      <c r="A35" s="1">
        <v>43516</v>
      </c>
      <c r="B35">
        <v>42.797500999999997</v>
      </c>
      <c r="C35">
        <v>43.330002</v>
      </c>
      <c r="D35">
        <v>42.747501</v>
      </c>
      <c r="E35">
        <v>43.0075</v>
      </c>
      <c r="F35">
        <v>41.687823999999999</v>
      </c>
      <c r="G35">
        <v>104457600</v>
      </c>
      <c r="H35" s="2">
        <f t="shared" si="0"/>
        <v>6.4354300092637207E-3</v>
      </c>
    </row>
    <row r="36" spans="1:8" x14ac:dyDescent="0.35">
      <c r="A36" s="1">
        <v>43517</v>
      </c>
      <c r="B36">
        <v>42.950001</v>
      </c>
      <c r="C36">
        <v>43.092498999999997</v>
      </c>
      <c r="D36">
        <v>42.575001</v>
      </c>
      <c r="E36">
        <v>42.764999000000003</v>
      </c>
      <c r="F36">
        <v>41.452773999999998</v>
      </c>
      <c r="G36">
        <v>68998800</v>
      </c>
      <c r="H36" s="2">
        <f t="shared" si="0"/>
        <v>-5.6385746672091841E-3</v>
      </c>
    </row>
    <row r="37" spans="1:8" x14ac:dyDescent="0.35">
      <c r="A37" s="1">
        <v>43518</v>
      </c>
      <c r="B37">
        <v>42.895000000000003</v>
      </c>
      <c r="C37">
        <v>43.25</v>
      </c>
      <c r="D37">
        <v>42.845001000000003</v>
      </c>
      <c r="E37">
        <v>43.2425</v>
      </c>
      <c r="F37">
        <v>41.915615000000003</v>
      </c>
      <c r="G37">
        <v>75652800</v>
      </c>
      <c r="H37" s="2">
        <f t="shared" si="0"/>
        <v>1.1165696508025125E-2</v>
      </c>
    </row>
    <row r="38" spans="1:8" x14ac:dyDescent="0.35">
      <c r="A38" s="1">
        <v>43521</v>
      </c>
      <c r="B38">
        <v>43.540000999999997</v>
      </c>
      <c r="C38">
        <v>43.967498999999997</v>
      </c>
      <c r="D38">
        <v>43.487499</v>
      </c>
      <c r="E38">
        <v>43.557499</v>
      </c>
      <c r="F38">
        <v>42.220950999999999</v>
      </c>
      <c r="G38">
        <v>87493600</v>
      </c>
      <c r="H38" s="2">
        <f t="shared" si="0"/>
        <v>7.2844770769497913E-3</v>
      </c>
    </row>
    <row r="39" spans="1:8" x14ac:dyDescent="0.35">
      <c r="A39" s="1">
        <v>43522</v>
      </c>
      <c r="B39">
        <v>43.427501999999997</v>
      </c>
      <c r="C39">
        <v>43.825001</v>
      </c>
      <c r="D39">
        <v>43.292499999999997</v>
      </c>
      <c r="E39">
        <v>43.582500000000003</v>
      </c>
      <c r="F39">
        <v>42.245173999999999</v>
      </c>
      <c r="G39">
        <v>68280800</v>
      </c>
      <c r="H39" s="2">
        <f t="shared" si="0"/>
        <v>5.7397694022798262E-4</v>
      </c>
    </row>
    <row r="40" spans="1:8" x14ac:dyDescent="0.35">
      <c r="A40" s="1">
        <v>43523</v>
      </c>
      <c r="B40">
        <v>43.302501999999997</v>
      </c>
      <c r="C40">
        <v>43.75</v>
      </c>
      <c r="D40">
        <v>43.182499</v>
      </c>
      <c r="E40">
        <v>43.717498999999997</v>
      </c>
      <c r="F40">
        <v>42.376033999999997</v>
      </c>
      <c r="G40">
        <v>111341600</v>
      </c>
      <c r="H40" s="2">
        <f t="shared" si="0"/>
        <v>3.0975506223827054E-3</v>
      </c>
    </row>
    <row r="41" spans="1:8" x14ac:dyDescent="0.35">
      <c r="A41" s="1">
        <v>43524</v>
      </c>
      <c r="B41">
        <v>43.580002</v>
      </c>
      <c r="C41">
        <v>43.727500999999997</v>
      </c>
      <c r="D41">
        <v>43.23</v>
      </c>
      <c r="E41">
        <v>43.287497999999999</v>
      </c>
      <c r="F41">
        <v>41.959235999999997</v>
      </c>
      <c r="G41">
        <v>112861600</v>
      </c>
      <c r="H41" s="2">
        <f t="shared" si="0"/>
        <v>-9.8359011799827867E-3</v>
      </c>
    </row>
    <row r="42" spans="1:8" x14ac:dyDescent="0.35">
      <c r="A42" s="1">
        <v>43525</v>
      </c>
      <c r="B42">
        <v>43.57</v>
      </c>
      <c r="C42">
        <v>43.787497999999999</v>
      </c>
      <c r="D42">
        <v>43.222499999999997</v>
      </c>
      <c r="E42">
        <v>43.7425</v>
      </c>
      <c r="F42">
        <v>42.400269000000002</v>
      </c>
      <c r="G42">
        <v>103544800</v>
      </c>
      <c r="H42" s="2">
        <f t="shared" si="0"/>
        <v>1.0511164216513436E-2</v>
      </c>
    </row>
    <row r="43" spans="1:8" x14ac:dyDescent="0.35">
      <c r="A43" s="1">
        <v>43528</v>
      </c>
      <c r="B43">
        <v>43.922500999999997</v>
      </c>
      <c r="C43">
        <v>44.4375</v>
      </c>
      <c r="D43">
        <v>43.4925</v>
      </c>
      <c r="E43">
        <v>43.962502000000001</v>
      </c>
      <c r="F43">
        <v>42.613509999999998</v>
      </c>
      <c r="G43">
        <v>109744800</v>
      </c>
      <c r="H43" s="2">
        <f t="shared" si="0"/>
        <v>5.0294793393153014E-3</v>
      </c>
    </row>
    <row r="44" spans="1:8" x14ac:dyDescent="0.35">
      <c r="A44" s="1">
        <v>43529</v>
      </c>
      <c r="B44">
        <v>43.985000999999997</v>
      </c>
      <c r="C44">
        <v>44</v>
      </c>
      <c r="D44">
        <v>43.634998000000003</v>
      </c>
      <c r="E44">
        <v>43.8825</v>
      </c>
      <c r="F44">
        <v>42.535972999999998</v>
      </c>
      <c r="G44">
        <v>78949600</v>
      </c>
      <c r="H44" s="2">
        <f t="shared" si="0"/>
        <v>-1.8197781372861765E-3</v>
      </c>
    </row>
    <row r="45" spans="1:8" x14ac:dyDescent="0.35">
      <c r="A45" s="1">
        <v>43530</v>
      </c>
      <c r="B45">
        <v>43.667499999999997</v>
      </c>
      <c r="C45">
        <v>43.872501</v>
      </c>
      <c r="D45">
        <v>43.485000999999997</v>
      </c>
      <c r="E45">
        <v>43.630001</v>
      </c>
      <c r="F45">
        <v>42.291221999999998</v>
      </c>
      <c r="G45">
        <v>83241600</v>
      </c>
      <c r="H45" s="2">
        <f t="shared" si="0"/>
        <v>-5.7539793767447112E-3</v>
      </c>
    </row>
    <row r="46" spans="1:8" x14ac:dyDescent="0.35">
      <c r="A46" s="1">
        <v>43531</v>
      </c>
      <c r="B46">
        <v>43.467498999999997</v>
      </c>
      <c r="C46">
        <v>43.610000999999997</v>
      </c>
      <c r="D46">
        <v>43.005001</v>
      </c>
      <c r="E46">
        <v>43.125</v>
      </c>
      <c r="F46">
        <v>41.801715999999999</v>
      </c>
      <c r="G46">
        <v>99185600</v>
      </c>
      <c r="H46" s="2">
        <f t="shared" si="0"/>
        <v>-1.157462728456049E-2</v>
      </c>
    </row>
    <row r="47" spans="1:8" x14ac:dyDescent="0.35">
      <c r="A47" s="1">
        <v>43532</v>
      </c>
      <c r="B47">
        <v>42.580002</v>
      </c>
      <c r="C47">
        <v>43.267502</v>
      </c>
      <c r="D47">
        <v>42.375</v>
      </c>
      <c r="E47">
        <v>43.227500999999997</v>
      </c>
      <c r="F47">
        <v>41.901072999999997</v>
      </c>
      <c r="G47">
        <v>95997600</v>
      </c>
      <c r="H47" s="2">
        <f t="shared" si="0"/>
        <v>2.3768347826085279E-3</v>
      </c>
    </row>
    <row r="48" spans="1:8" x14ac:dyDescent="0.35">
      <c r="A48" s="1">
        <v>43535</v>
      </c>
      <c r="B48">
        <v>43.872501</v>
      </c>
      <c r="C48">
        <v>44.779998999999997</v>
      </c>
      <c r="D48">
        <v>43.837502000000001</v>
      </c>
      <c r="E48">
        <v>44.724997999999999</v>
      </c>
      <c r="F48">
        <v>43.352618999999997</v>
      </c>
      <c r="G48">
        <v>128044000</v>
      </c>
      <c r="H48" s="2">
        <f t="shared" si="0"/>
        <v>3.4642229260488655E-2</v>
      </c>
    </row>
    <row r="49" spans="1:8" x14ac:dyDescent="0.35">
      <c r="A49" s="1">
        <v>43536</v>
      </c>
      <c r="B49">
        <v>45</v>
      </c>
      <c r="C49">
        <v>45.667499999999997</v>
      </c>
      <c r="D49">
        <v>44.842498999999997</v>
      </c>
      <c r="E49">
        <v>45.227500999999997</v>
      </c>
      <c r="F49">
        <v>43.839706</v>
      </c>
      <c r="G49">
        <v>129870400</v>
      </c>
      <c r="H49" s="2">
        <f t="shared" si="0"/>
        <v>1.1235394577323365E-2</v>
      </c>
    </row>
    <row r="50" spans="1:8" x14ac:dyDescent="0.35">
      <c r="A50" s="1">
        <v>43537</v>
      </c>
      <c r="B50">
        <v>45.5625</v>
      </c>
      <c r="C50">
        <v>45.825001</v>
      </c>
      <c r="D50">
        <v>45.23</v>
      </c>
      <c r="E50">
        <v>45.427501999999997</v>
      </c>
      <c r="F50">
        <v>44.033566</v>
      </c>
      <c r="G50">
        <v>124130000</v>
      </c>
      <c r="H50" s="2">
        <f t="shared" si="0"/>
        <v>4.4221103438812914E-3</v>
      </c>
    </row>
    <row r="51" spans="1:8" x14ac:dyDescent="0.35">
      <c r="A51" s="1">
        <v>43538</v>
      </c>
      <c r="B51">
        <v>45.974997999999999</v>
      </c>
      <c r="C51">
        <v>46.025002000000001</v>
      </c>
      <c r="D51">
        <v>45.639999000000003</v>
      </c>
      <c r="E51">
        <v>45.932499</v>
      </c>
      <c r="F51">
        <v>44.523074999999999</v>
      </c>
      <c r="G51">
        <v>94318000</v>
      </c>
      <c r="H51" s="2">
        <f t="shared" si="0"/>
        <v>1.1116547856846681E-2</v>
      </c>
    </row>
    <row r="52" spans="1:8" x14ac:dyDescent="0.35">
      <c r="A52" s="1">
        <v>43539</v>
      </c>
      <c r="B52">
        <v>46.212502000000001</v>
      </c>
      <c r="C52">
        <v>46.832500000000003</v>
      </c>
      <c r="D52">
        <v>45.935001</v>
      </c>
      <c r="E52">
        <v>46.529998999999997</v>
      </c>
      <c r="F52">
        <v>45.102229999999999</v>
      </c>
      <c r="G52">
        <v>156171600</v>
      </c>
      <c r="H52" s="2">
        <f t="shared" si="0"/>
        <v>1.3008218864817289E-2</v>
      </c>
    </row>
    <row r="53" spans="1:8" x14ac:dyDescent="0.35">
      <c r="A53" s="1">
        <v>43542</v>
      </c>
      <c r="B53">
        <v>46.450001</v>
      </c>
      <c r="C53">
        <v>47.097499999999997</v>
      </c>
      <c r="D53">
        <v>46.447498000000003</v>
      </c>
      <c r="E53">
        <v>47.005001</v>
      </c>
      <c r="F53">
        <v>45.562660000000001</v>
      </c>
      <c r="G53">
        <v>104879200</v>
      </c>
      <c r="H53" s="2">
        <f t="shared" si="0"/>
        <v>1.0208510857694364E-2</v>
      </c>
    </row>
    <row r="54" spans="1:8" x14ac:dyDescent="0.35">
      <c r="A54" s="1">
        <v>43543</v>
      </c>
      <c r="B54">
        <v>47.087502000000001</v>
      </c>
      <c r="C54">
        <v>47.247501</v>
      </c>
      <c r="D54">
        <v>46.48</v>
      </c>
      <c r="E54">
        <v>46.6325</v>
      </c>
      <c r="F54">
        <v>45.201591000000001</v>
      </c>
      <c r="G54">
        <v>126585600</v>
      </c>
      <c r="H54" s="2">
        <f t="shared" si="0"/>
        <v>-7.9247099686264866E-3</v>
      </c>
    </row>
    <row r="55" spans="1:8" x14ac:dyDescent="0.35">
      <c r="A55" s="1">
        <v>43544</v>
      </c>
      <c r="B55">
        <v>46.557499</v>
      </c>
      <c r="C55">
        <v>47.372501</v>
      </c>
      <c r="D55">
        <v>46.182499</v>
      </c>
      <c r="E55">
        <v>47.040000999999997</v>
      </c>
      <c r="F55">
        <v>45.596587999999997</v>
      </c>
      <c r="G55">
        <v>124140800</v>
      </c>
      <c r="H55" s="2">
        <f t="shared" si="0"/>
        <v>8.7385621615825304E-3</v>
      </c>
    </row>
    <row r="56" spans="1:8" x14ac:dyDescent="0.35">
      <c r="A56" s="1">
        <v>43545</v>
      </c>
      <c r="B56">
        <v>47.505001</v>
      </c>
      <c r="C56">
        <v>49.082500000000003</v>
      </c>
      <c r="D56">
        <v>47.452499000000003</v>
      </c>
      <c r="E56">
        <v>48.772499000000003</v>
      </c>
      <c r="F56">
        <v>47.275920999999997</v>
      </c>
      <c r="G56">
        <v>204136800</v>
      </c>
      <c r="H56" s="2">
        <f t="shared" si="0"/>
        <v>3.6830313842893148E-2</v>
      </c>
    </row>
    <row r="57" spans="1:8" x14ac:dyDescent="0.35">
      <c r="A57" s="1">
        <v>43546</v>
      </c>
      <c r="B57">
        <v>48.834999000000003</v>
      </c>
      <c r="C57">
        <v>49.422500999999997</v>
      </c>
      <c r="D57">
        <v>47.695</v>
      </c>
      <c r="E57">
        <v>47.762501</v>
      </c>
      <c r="F57">
        <v>46.296920999999998</v>
      </c>
      <c r="G57">
        <v>169630800</v>
      </c>
      <c r="H57" s="2">
        <f t="shared" si="0"/>
        <v>-2.0708350416901999E-2</v>
      </c>
    </row>
    <row r="58" spans="1:8" x14ac:dyDescent="0.35">
      <c r="A58" s="1">
        <v>43549</v>
      </c>
      <c r="B58">
        <v>47.877499</v>
      </c>
      <c r="C58">
        <v>47.994999</v>
      </c>
      <c r="D58">
        <v>46.650002000000001</v>
      </c>
      <c r="E58">
        <v>47.185001</v>
      </c>
      <c r="F58">
        <v>45.737136999999997</v>
      </c>
      <c r="G58">
        <v>175381200</v>
      </c>
      <c r="H58" s="2">
        <f t="shared" si="0"/>
        <v>-1.2091075381500671E-2</v>
      </c>
    </row>
    <row r="59" spans="1:8" x14ac:dyDescent="0.35">
      <c r="A59" s="1">
        <v>43550</v>
      </c>
      <c r="B59">
        <v>47.915000999999997</v>
      </c>
      <c r="C59">
        <v>48.220001000000003</v>
      </c>
      <c r="D59">
        <v>46.145000000000003</v>
      </c>
      <c r="E59">
        <v>46.697498000000003</v>
      </c>
      <c r="F59">
        <v>45.264595</v>
      </c>
      <c r="G59">
        <v>199202000</v>
      </c>
      <c r="H59" s="2">
        <f t="shared" si="0"/>
        <v>-1.0331736561794203E-2</v>
      </c>
    </row>
    <row r="60" spans="1:8" x14ac:dyDescent="0.35">
      <c r="A60" s="1">
        <v>43551</v>
      </c>
      <c r="B60">
        <v>47.1875</v>
      </c>
      <c r="C60">
        <v>47.439999</v>
      </c>
      <c r="D60">
        <v>46.637501</v>
      </c>
      <c r="E60">
        <v>47.1175</v>
      </c>
      <c r="F60">
        <v>45.671714999999999</v>
      </c>
      <c r="G60">
        <v>119393600</v>
      </c>
      <c r="H60" s="2">
        <f t="shared" si="0"/>
        <v>8.9941007117768645E-3</v>
      </c>
    </row>
    <row r="61" spans="1:8" x14ac:dyDescent="0.35">
      <c r="A61" s="1">
        <v>43552</v>
      </c>
      <c r="B61">
        <v>47.237499</v>
      </c>
      <c r="C61">
        <v>47.389999000000003</v>
      </c>
      <c r="D61">
        <v>46.8825</v>
      </c>
      <c r="E61">
        <v>47.18</v>
      </c>
      <c r="F61">
        <v>45.732287999999997</v>
      </c>
      <c r="G61">
        <v>83121600</v>
      </c>
      <c r="H61" s="2">
        <f t="shared" si="0"/>
        <v>1.3264710564016013E-3</v>
      </c>
    </row>
    <row r="62" spans="1:8" x14ac:dyDescent="0.35">
      <c r="A62" s="1">
        <v>43553</v>
      </c>
      <c r="B62">
        <v>47.457500000000003</v>
      </c>
      <c r="C62">
        <v>47.52</v>
      </c>
      <c r="D62">
        <v>47.134998000000003</v>
      </c>
      <c r="E62">
        <v>47.487499</v>
      </c>
      <c r="F62">
        <v>46.030357000000002</v>
      </c>
      <c r="G62">
        <v>94256000</v>
      </c>
      <c r="H62" s="2">
        <f t="shared" si="0"/>
        <v>6.517571004662992E-3</v>
      </c>
    </row>
    <row r="63" spans="1:8" x14ac:dyDescent="0.35">
      <c r="A63" s="1">
        <v>43556</v>
      </c>
      <c r="B63">
        <v>47.91</v>
      </c>
      <c r="C63">
        <v>47.919998</v>
      </c>
      <c r="D63">
        <v>47.095001000000003</v>
      </c>
      <c r="E63">
        <v>47.810001</v>
      </c>
      <c r="F63">
        <v>46.342964000000002</v>
      </c>
      <c r="G63">
        <v>111448000</v>
      </c>
      <c r="H63" s="2">
        <f t="shared" si="0"/>
        <v>6.7913031174793304E-3</v>
      </c>
    </row>
    <row r="64" spans="1:8" x14ac:dyDescent="0.35">
      <c r="A64" s="1">
        <v>43557</v>
      </c>
      <c r="B64">
        <v>47.772499000000003</v>
      </c>
      <c r="C64">
        <v>48.615001999999997</v>
      </c>
      <c r="D64">
        <v>47.762501</v>
      </c>
      <c r="E64">
        <v>48.505001</v>
      </c>
      <c r="F64">
        <v>47.016632000000001</v>
      </c>
      <c r="G64">
        <v>91062800</v>
      </c>
      <c r="H64" s="2">
        <f t="shared" si="0"/>
        <v>1.4536707497663448E-2</v>
      </c>
    </row>
    <row r="65" spans="1:8" x14ac:dyDescent="0.35">
      <c r="A65" s="1">
        <v>43558</v>
      </c>
      <c r="B65">
        <v>48.3125</v>
      </c>
      <c r="C65">
        <v>49.125</v>
      </c>
      <c r="D65">
        <v>48.287497999999999</v>
      </c>
      <c r="E65">
        <v>48.837502000000001</v>
      </c>
      <c r="F65">
        <v>47.338923999999999</v>
      </c>
      <c r="G65">
        <v>93087200</v>
      </c>
      <c r="H65" s="2">
        <f t="shared" si="0"/>
        <v>6.8549838809404129E-3</v>
      </c>
    </row>
    <row r="66" spans="1:8" x14ac:dyDescent="0.35">
      <c r="A66" s="1">
        <v>43559</v>
      </c>
      <c r="B66">
        <v>48.697498000000003</v>
      </c>
      <c r="C66">
        <v>49.092498999999997</v>
      </c>
      <c r="D66">
        <v>48.284999999999997</v>
      </c>
      <c r="E66">
        <v>48.922500999999997</v>
      </c>
      <c r="F66">
        <v>47.421322000000004</v>
      </c>
      <c r="G66">
        <v>76457200</v>
      </c>
      <c r="H66" s="2">
        <f t="shared" si="0"/>
        <v>1.7404452832168182E-3</v>
      </c>
    </row>
    <row r="67" spans="1:8" x14ac:dyDescent="0.35">
      <c r="A67" s="1">
        <v>43560</v>
      </c>
      <c r="B67">
        <v>49.112499</v>
      </c>
      <c r="C67">
        <v>49.275002000000001</v>
      </c>
      <c r="D67">
        <v>48.982498</v>
      </c>
      <c r="E67">
        <v>49.25</v>
      </c>
      <c r="F67">
        <v>47.738770000000002</v>
      </c>
      <c r="G67">
        <v>74106400</v>
      </c>
      <c r="H67" s="2">
        <f t="shared" si="0"/>
        <v>6.6942407543719717E-3</v>
      </c>
    </row>
    <row r="68" spans="1:8" x14ac:dyDescent="0.35">
      <c r="A68" s="1">
        <v>43563</v>
      </c>
      <c r="B68">
        <v>49.104999999999997</v>
      </c>
      <c r="C68">
        <v>50.057499</v>
      </c>
      <c r="D68">
        <v>49.084999000000003</v>
      </c>
      <c r="E68">
        <v>50.025002000000001</v>
      </c>
      <c r="F68">
        <v>48.489998</v>
      </c>
      <c r="G68">
        <v>103526800</v>
      </c>
      <c r="H68" s="2">
        <f t="shared" ref="H68:H131" si="1">E68/E67-1</f>
        <v>1.5736081218274078E-2</v>
      </c>
    </row>
    <row r="69" spans="1:8" x14ac:dyDescent="0.35">
      <c r="A69" s="1">
        <v>43564</v>
      </c>
      <c r="B69">
        <v>50.080002</v>
      </c>
      <c r="C69">
        <v>50.712502000000001</v>
      </c>
      <c r="D69">
        <v>49.807499</v>
      </c>
      <c r="E69">
        <v>49.875</v>
      </c>
      <c r="F69">
        <v>48.344600999999997</v>
      </c>
      <c r="G69">
        <v>143072800</v>
      </c>
      <c r="H69" s="2">
        <f t="shared" si="1"/>
        <v>-2.9985406097534639E-3</v>
      </c>
    </row>
    <row r="70" spans="1:8" x14ac:dyDescent="0.35">
      <c r="A70" s="1">
        <v>43565</v>
      </c>
      <c r="B70">
        <v>49.669998</v>
      </c>
      <c r="C70">
        <v>50.185001</v>
      </c>
      <c r="D70">
        <v>49.544998</v>
      </c>
      <c r="E70">
        <v>50.154998999999997</v>
      </c>
      <c r="F70">
        <v>48.616008999999998</v>
      </c>
      <c r="G70">
        <v>86781200</v>
      </c>
      <c r="H70" s="2">
        <f t="shared" si="1"/>
        <v>5.6140150375938447E-3</v>
      </c>
    </row>
    <row r="71" spans="1:8" x14ac:dyDescent="0.35">
      <c r="A71" s="1">
        <v>43566</v>
      </c>
      <c r="B71">
        <v>50.212502000000001</v>
      </c>
      <c r="C71">
        <v>50.25</v>
      </c>
      <c r="D71">
        <v>49.610000999999997</v>
      </c>
      <c r="E71">
        <v>49.737499</v>
      </c>
      <c r="F71">
        <v>48.211314999999999</v>
      </c>
      <c r="G71">
        <v>83603200</v>
      </c>
      <c r="H71" s="2">
        <f t="shared" si="1"/>
        <v>-8.3241951614831944E-3</v>
      </c>
    </row>
    <row r="72" spans="1:8" x14ac:dyDescent="0.35">
      <c r="A72" s="1">
        <v>43567</v>
      </c>
      <c r="B72">
        <v>49.799999</v>
      </c>
      <c r="C72">
        <v>50.034999999999997</v>
      </c>
      <c r="D72">
        <v>49.052501999999997</v>
      </c>
      <c r="E72">
        <v>49.717498999999997</v>
      </c>
      <c r="F72">
        <v>48.191924999999998</v>
      </c>
      <c r="G72">
        <v>111042800</v>
      </c>
      <c r="H72" s="2">
        <f t="shared" si="1"/>
        <v>-4.0211109127141764E-4</v>
      </c>
    </row>
    <row r="73" spans="1:8" x14ac:dyDescent="0.35">
      <c r="A73" s="1">
        <v>43570</v>
      </c>
      <c r="B73">
        <v>49.645000000000003</v>
      </c>
      <c r="C73">
        <v>49.962502000000001</v>
      </c>
      <c r="D73">
        <v>49.502499</v>
      </c>
      <c r="E73">
        <v>49.807499</v>
      </c>
      <c r="F73">
        <v>48.279162999999997</v>
      </c>
      <c r="G73">
        <v>70146400</v>
      </c>
      <c r="H73" s="2">
        <f t="shared" si="1"/>
        <v>1.8102278234068958E-3</v>
      </c>
    </row>
    <row r="74" spans="1:8" x14ac:dyDescent="0.35">
      <c r="A74" s="1">
        <v>43571</v>
      </c>
      <c r="B74">
        <v>49.865001999999997</v>
      </c>
      <c r="C74">
        <v>50.342498999999997</v>
      </c>
      <c r="D74">
        <v>49.639999000000003</v>
      </c>
      <c r="E74">
        <v>49.8125</v>
      </c>
      <c r="F74">
        <v>48.284016000000001</v>
      </c>
      <c r="G74">
        <v>102785600</v>
      </c>
      <c r="H74" s="2">
        <f t="shared" si="1"/>
        <v>1.0040656729226605E-4</v>
      </c>
    </row>
    <row r="75" spans="1:8" x14ac:dyDescent="0.35">
      <c r="A75" s="1">
        <v>43572</v>
      </c>
      <c r="B75">
        <v>49.884998000000003</v>
      </c>
      <c r="C75">
        <v>50.845001000000003</v>
      </c>
      <c r="D75">
        <v>49.652500000000003</v>
      </c>
      <c r="E75">
        <v>50.782501000000003</v>
      </c>
      <c r="F75">
        <v>49.224254999999999</v>
      </c>
      <c r="G75">
        <v>115627200</v>
      </c>
      <c r="H75" s="2">
        <f t="shared" si="1"/>
        <v>1.9473043914680188E-2</v>
      </c>
    </row>
    <row r="76" spans="1:8" x14ac:dyDescent="0.35">
      <c r="A76" s="1">
        <v>43573</v>
      </c>
      <c r="B76">
        <v>50.779998999999997</v>
      </c>
      <c r="C76">
        <v>51.037497999999999</v>
      </c>
      <c r="D76">
        <v>50.630001</v>
      </c>
      <c r="E76">
        <v>50.965000000000003</v>
      </c>
      <c r="F76">
        <v>49.401150000000001</v>
      </c>
      <c r="G76">
        <v>96783200</v>
      </c>
      <c r="H76" s="2">
        <f t="shared" si="1"/>
        <v>3.5937379295281069E-3</v>
      </c>
    </row>
    <row r="77" spans="1:8" x14ac:dyDescent="0.35">
      <c r="A77" s="1">
        <v>43577</v>
      </c>
      <c r="B77">
        <v>50.707500000000003</v>
      </c>
      <c r="C77">
        <v>51.235000999999997</v>
      </c>
      <c r="D77">
        <v>50.584999000000003</v>
      </c>
      <c r="E77">
        <v>51.1325</v>
      </c>
      <c r="F77">
        <v>49.563515000000002</v>
      </c>
      <c r="G77">
        <v>77758000</v>
      </c>
      <c r="H77" s="2">
        <f t="shared" si="1"/>
        <v>3.2865692141665903E-3</v>
      </c>
    </row>
    <row r="78" spans="1:8" x14ac:dyDescent="0.35">
      <c r="A78" s="1">
        <v>43578</v>
      </c>
      <c r="B78">
        <v>51.107498</v>
      </c>
      <c r="C78">
        <v>51.9375</v>
      </c>
      <c r="D78">
        <v>50.974997999999999</v>
      </c>
      <c r="E78">
        <v>51.869999</v>
      </c>
      <c r="F78">
        <v>50.278381000000003</v>
      </c>
      <c r="G78">
        <v>93292000</v>
      </c>
      <c r="H78" s="2">
        <f t="shared" si="1"/>
        <v>1.4423292426538836E-2</v>
      </c>
    </row>
    <row r="79" spans="1:8" x14ac:dyDescent="0.35">
      <c r="A79" s="1">
        <v>43579</v>
      </c>
      <c r="B79">
        <v>51.84</v>
      </c>
      <c r="C79">
        <v>52.119999</v>
      </c>
      <c r="D79">
        <v>51.762501</v>
      </c>
      <c r="E79">
        <v>51.790000999999997</v>
      </c>
      <c r="F79">
        <v>50.200831999999998</v>
      </c>
      <c r="G79">
        <v>70162400</v>
      </c>
      <c r="H79" s="2">
        <f t="shared" si="1"/>
        <v>-1.5422788035913682E-3</v>
      </c>
    </row>
    <row r="80" spans="1:8" x14ac:dyDescent="0.35">
      <c r="A80" s="1">
        <v>43580</v>
      </c>
      <c r="B80">
        <v>51.707500000000003</v>
      </c>
      <c r="C80">
        <v>51.939999</v>
      </c>
      <c r="D80">
        <v>51.279998999999997</v>
      </c>
      <c r="E80">
        <v>51.32</v>
      </c>
      <c r="F80">
        <v>49.745251000000003</v>
      </c>
      <c r="G80">
        <v>74172800</v>
      </c>
      <c r="H80" s="2">
        <f t="shared" si="1"/>
        <v>-9.0751301588118949E-3</v>
      </c>
    </row>
    <row r="81" spans="1:8" x14ac:dyDescent="0.35">
      <c r="A81" s="1">
        <v>43581</v>
      </c>
      <c r="B81">
        <v>51.224997999999999</v>
      </c>
      <c r="C81">
        <v>51.25</v>
      </c>
      <c r="D81">
        <v>50.529998999999997</v>
      </c>
      <c r="E81">
        <v>51.075001</v>
      </c>
      <c r="F81">
        <v>49.507773999999998</v>
      </c>
      <c r="G81">
        <v>74596400</v>
      </c>
      <c r="H81" s="2">
        <f t="shared" si="1"/>
        <v>-4.7739477786438167E-3</v>
      </c>
    </row>
    <row r="82" spans="1:8" x14ac:dyDescent="0.35">
      <c r="A82" s="1">
        <v>43584</v>
      </c>
      <c r="B82">
        <v>51.099997999999999</v>
      </c>
      <c r="C82">
        <v>51.4925</v>
      </c>
      <c r="D82">
        <v>50.965000000000003</v>
      </c>
      <c r="E82">
        <v>51.152500000000003</v>
      </c>
      <c r="F82">
        <v>49.582897000000003</v>
      </c>
      <c r="G82">
        <v>88818800</v>
      </c>
      <c r="H82" s="2">
        <f t="shared" si="1"/>
        <v>1.5173567984854142E-3</v>
      </c>
    </row>
    <row r="83" spans="1:8" x14ac:dyDescent="0.35">
      <c r="A83" s="1">
        <v>43585</v>
      </c>
      <c r="B83">
        <v>50.764999000000003</v>
      </c>
      <c r="C83">
        <v>50.849997999999999</v>
      </c>
      <c r="D83">
        <v>49.777500000000003</v>
      </c>
      <c r="E83">
        <v>50.167499999999997</v>
      </c>
      <c r="F83">
        <v>48.628117000000003</v>
      </c>
      <c r="G83">
        <v>186139600</v>
      </c>
      <c r="H83" s="2">
        <f t="shared" si="1"/>
        <v>-1.9256145838424499E-2</v>
      </c>
    </row>
    <row r="84" spans="1:8" x14ac:dyDescent="0.35">
      <c r="A84" s="1">
        <v>43586</v>
      </c>
      <c r="B84">
        <v>52.470001000000003</v>
      </c>
      <c r="C84">
        <v>53.827499000000003</v>
      </c>
      <c r="D84">
        <v>52.307499</v>
      </c>
      <c r="E84">
        <v>52.630001</v>
      </c>
      <c r="F84">
        <v>51.015059999999998</v>
      </c>
      <c r="G84">
        <v>259309200</v>
      </c>
      <c r="H84" s="2">
        <f t="shared" si="1"/>
        <v>4.908558329595869E-2</v>
      </c>
    </row>
    <row r="85" spans="1:8" x14ac:dyDescent="0.35">
      <c r="A85" s="1">
        <v>43587</v>
      </c>
      <c r="B85">
        <v>52.459999000000003</v>
      </c>
      <c r="C85">
        <v>53.162497999999999</v>
      </c>
      <c r="D85">
        <v>52.032501000000003</v>
      </c>
      <c r="E85">
        <v>52.287497999999999</v>
      </c>
      <c r="F85">
        <v>50.683067000000001</v>
      </c>
      <c r="G85">
        <v>127985200</v>
      </c>
      <c r="H85" s="2">
        <f t="shared" si="1"/>
        <v>-6.5077521089159651E-3</v>
      </c>
    </row>
    <row r="86" spans="1:8" x14ac:dyDescent="0.35">
      <c r="A86" s="1">
        <v>43588</v>
      </c>
      <c r="B86">
        <v>52.722499999999997</v>
      </c>
      <c r="C86">
        <v>52.959999000000003</v>
      </c>
      <c r="D86">
        <v>52.557499</v>
      </c>
      <c r="E86">
        <v>52.9375</v>
      </c>
      <c r="F86">
        <v>51.313125999999997</v>
      </c>
      <c r="G86">
        <v>83569600</v>
      </c>
      <c r="H86" s="2">
        <f t="shared" si="1"/>
        <v>1.2431308149416509E-2</v>
      </c>
    </row>
    <row r="87" spans="1:8" x14ac:dyDescent="0.35">
      <c r="A87" s="1">
        <v>43591</v>
      </c>
      <c r="B87">
        <v>51.072498000000003</v>
      </c>
      <c r="C87">
        <v>52.209999000000003</v>
      </c>
      <c r="D87">
        <v>50.875</v>
      </c>
      <c r="E87">
        <v>52.119999</v>
      </c>
      <c r="F87">
        <v>50.520710000000001</v>
      </c>
      <c r="G87">
        <v>129772400</v>
      </c>
      <c r="H87" s="2">
        <f t="shared" si="1"/>
        <v>-1.5442757969303389E-2</v>
      </c>
    </row>
    <row r="88" spans="1:8" x14ac:dyDescent="0.35">
      <c r="A88" s="1">
        <v>43592</v>
      </c>
      <c r="B88">
        <v>51.470001000000003</v>
      </c>
      <c r="C88">
        <v>51.854999999999997</v>
      </c>
      <c r="D88">
        <v>50.207500000000003</v>
      </c>
      <c r="E88">
        <v>50.715000000000003</v>
      </c>
      <c r="F88">
        <v>49.158825</v>
      </c>
      <c r="G88">
        <v>155054800</v>
      </c>
      <c r="H88" s="2">
        <f t="shared" si="1"/>
        <v>-2.6957003587049111E-2</v>
      </c>
    </row>
    <row r="89" spans="1:8" x14ac:dyDescent="0.35">
      <c r="A89" s="1">
        <v>43593</v>
      </c>
      <c r="B89">
        <v>50.474997999999999</v>
      </c>
      <c r="C89">
        <v>51.334999000000003</v>
      </c>
      <c r="D89">
        <v>50.4375</v>
      </c>
      <c r="E89">
        <v>50.724997999999999</v>
      </c>
      <c r="F89">
        <v>49.168509999999998</v>
      </c>
      <c r="G89">
        <v>105358000</v>
      </c>
      <c r="H89" s="2">
        <f t="shared" si="1"/>
        <v>1.9714088533961949E-4</v>
      </c>
    </row>
    <row r="90" spans="1:8" x14ac:dyDescent="0.35">
      <c r="A90" s="1">
        <v>43594</v>
      </c>
      <c r="B90">
        <v>50.099997999999999</v>
      </c>
      <c r="C90">
        <v>50.419998</v>
      </c>
      <c r="D90">
        <v>49.165000999999997</v>
      </c>
      <c r="E90">
        <v>50.18</v>
      </c>
      <c r="F90">
        <v>48.640236000000002</v>
      </c>
      <c r="G90">
        <v>139634400</v>
      </c>
      <c r="H90" s="2">
        <f t="shared" si="1"/>
        <v>-1.0744169965270389E-2</v>
      </c>
    </row>
    <row r="91" spans="1:8" x14ac:dyDescent="0.35">
      <c r="A91" s="1">
        <v>43595</v>
      </c>
      <c r="B91">
        <v>49.354999999999997</v>
      </c>
      <c r="C91">
        <v>49.712502000000001</v>
      </c>
      <c r="D91">
        <v>48.192501</v>
      </c>
      <c r="E91">
        <v>49.294998</v>
      </c>
      <c r="F91">
        <v>47.966396000000003</v>
      </c>
      <c r="G91">
        <v>164834800</v>
      </c>
      <c r="H91" s="2">
        <f t="shared" si="1"/>
        <v>-1.7636548425667642E-2</v>
      </c>
    </row>
    <row r="92" spans="1:8" x14ac:dyDescent="0.35">
      <c r="A92" s="1">
        <v>43598</v>
      </c>
      <c r="B92">
        <v>46.927501999999997</v>
      </c>
      <c r="C92">
        <v>47.369999</v>
      </c>
      <c r="D92">
        <v>45.712502000000001</v>
      </c>
      <c r="E92">
        <v>46.43</v>
      </c>
      <c r="F92">
        <v>45.178618999999998</v>
      </c>
      <c r="G92">
        <v>229722400</v>
      </c>
      <c r="H92" s="2">
        <f t="shared" si="1"/>
        <v>-5.8119446520719986E-2</v>
      </c>
    </row>
    <row r="93" spans="1:8" x14ac:dyDescent="0.35">
      <c r="A93" s="1">
        <v>43599</v>
      </c>
      <c r="B93">
        <v>46.602500999999997</v>
      </c>
      <c r="C93">
        <v>47.424999</v>
      </c>
      <c r="D93">
        <v>46.352500999999997</v>
      </c>
      <c r="E93">
        <v>47.165000999999997</v>
      </c>
      <c r="F93">
        <v>45.893813999999999</v>
      </c>
      <c r="G93">
        <v>146118800</v>
      </c>
      <c r="H93" s="2">
        <f t="shared" si="1"/>
        <v>1.5830303682963454E-2</v>
      </c>
    </row>
    <row r="94" spans="1:8" x14ac:dyDescent="0.35">
      <c r="A94" s="1">
        <v>43600</v>
      </c>
      <c r="B94">
        <v>46.567501</v>
      </c>
      <c r="C94">
        <v>47.9375</v>
      </c>
      <c r="D94">
        <v>46.505001</v>
      </c>
      <c r="E94">
        <v>47.73</v>
      </c>
      <c r="F94">
        <v>46.443581000000002</v>
      </c>
      <c r="G94">
        <v>106178800</v>
      </c>
      <c r="H94" s="2">
        <f t="shared" si="1"/>
        <v>1.1979200424484304E-2</v>
      </c>
    </row>
    <row r="95" spans="1:8" x14ac:dyDescent="0.35">
      <c r="A95" s="1">
        <v>43601</v>
      </c>
      <c r="B95">
        <v>47.477500999999997</v>
      </c>
      <c r="C95">
        <v>48.1175</v>
      </c>
      <c r="D95">
        <v>47.209999000000003</v>
      </c>
      <c r="E95">
        <v>47.52</v>
      </c>
      <c r="F95">
        <v>46.239235000000001</v>
      </c>
      <c r="G95">
        <v>132125600</v>
      </c>
      <c r="H95" s="2">
        <f t="shared" si="1"/>
        <v>-4.3997485857949492E-3</v>
      </c>
    </row>
    <row r="96" spans="1:8" x14ac:dyDescent="0.35">
      <c r="A96" s="1">
        <v>43602</v>
      </c>
      <c r="B96">
        <v>46.732498</v>
      </c>
      <c r="C96">
        <v>47.724997999999999</v>
      </c>
      <c r="D96">
        <v>46.689999</v>
      </c>
      <c r="E96">
        <v>47.25</v>
      </c>
      <c r="F96">
        <v>45.976517000000001</v>
      </c>
      <c r="G96">
        <v>131516400</v>
      </c>
      <c r="H96" s="2">
        <f t="shared" si="1"/>
        <v>-5.6818181818182323E-3</v>
      </c>
    </row>
    <row r="97" spans="1:8" x14ac:dyDescent="0.35">
      <c r="A97" s="1">
        <v>43605</v>
      </c>
      <c r="B97">
        <v>45.880001</v>
      </c>
      <c r="C97">
        <v>46.087502000000001</v>
      </c>
      <c r="D97">
        <v>45.07</v>
      </c>
      <c r="E97">
        <v>45.772499000000003</v>
      </c>
      <c r="F97">
        <v>44.538840999999998</v>
      </c>
      <c r="G97">
        <v>154449200</v>
      </c>
      <c r="H97" s="2">
        <f t="shared" si="1"/>
        <v>-3.1269862433862317E-2</v>
      </c>
    </row>
    <row r="98" spans="1:8" x14ac:dyDescent="0.35">
      <c r="A98" s="1">
        <v>43606</v>
      </c>
      <c r="B98">
        <v>46.305</v>
      </c>
      <c r="C98">
        <v>47</v>
      </c>
      <c r="D98">
        <v>46.174999</v>
      </c>
      <c r="E98">
        <v>46.650002000000001</v>
      </c>
      <c r="F98">
        <v>45.392696000000001</v>
      </c>
      <c r="G98">
        <v>113459200</v>
      </c>
      <c r="H98" s="2">
        <f t="shared" si="1"/>
        <v>1.9170965517963046E-2</v>
      </c>
    </row>
    <row r="99" spans="1:8" x14ac:dyDescent="0.35">
      <c r="A99" s="1">
        <v>43607</v>
      </c>
      <c r="B99">
        <v>46.165000999999997</v>
      </c>
      <c r="C99">
        <v>46.427501999999997</v>
      </c>
      <c r="D99">
        <v>45.637501</v>
      </c>
      <c r="E99">
        <v>45.695</v>
      </c>
      <c r="F99">
        <v>44.463431999999997</v>
      </c>
      <c r="G99">
        <v>118994400</v>
      </c>
      <c r="H99" s="2">
        <f t="shared" si="1"/>
        <v>-2.0471638993713182E-2</v>
      </c>
    </row>
    <row r="100" spans="1:8" x14ac:dyDescent="0.35">
      <c r="A100" s="1">
        <v>43608</v>
      </c>
      <c r="B100">
        <v>44.950001</v>
      </c>
      <c r="C100">
        <v>45.134998000000003</v>
      </c>
      <c r="D100">
        <v>44.452499000000003</v>
      </c>
      <c r="E100">
        <v>44.915000999999997</v>
      </c>
      <c r="F100">
        <v>43.704459999999997</v>
      </c>
      <c r="G100">
        <v>146118800</v>
      </c>
      <c r="H100" s="2">
        <f t="shared" si="1"/>
        <v>-1.7069679395995241E-2</v>
      </c>
    </row>
    <row r="101" spans="1:8" x14ac:dyDescent="0.35">
      <c r="A101" s="1">
        <v>43609</v>
      </c>
      <c r="B101">
        <v>45.049999</v>
      </c>
      <c r="C101">
        <v>45.534999999999997</v>
      </c>
      <c r="D101">
        <v>44.654998999999997</v>
      </c>
      <c r="E101">
        <v>44.7425</v>
      </c>
      <c r="F101">
        <v>43.536597999999998</v>
      </c>
      <c r="G101">
        <v>94858800</v>
      </c>
      <c r="H101" s="2">
        <f t="shared" si="1"/>
        <v>-3.840609955680474E-3</v>
      </c>
    </row>
    <row r="102" spans="1:8" x14ac:dyDescent="0.35">
      <c r="A102" s="1">
        <v>43613</v>
      </c>
      <c r="B102">
        <v>44.73</v>
      </c>
      <c r="C102">
        <v>45.147499000000003</v>
      </c>
      <c r="D102">
        <v>44.477500999999997</v>
      </c>
      <c r="E102">
        <v>44.557499</v>
      </c>
      <c r="F102">
        <v>43.356586</v>
      </c>
      <c r="G102">
        <v>111792800</v>
      </c>
      <c r="H102" s="2">
        <f t="shared" si="1"/>
        <v>-4.1347935408169167E-3</v>
      </c>
    </row>
    <row r="103" spans="1:8" x14ac:dyDescent="0.35">
      <c r="A103" s="1">
        <v>43614</v>
      </c>
      <c r="B103">
        <v>44.104999999999997</v>
      </c>
      <c r="C103">
        <v>44.837502000000001</v>
      </c>
      <c r="D103">
        <v>44</v>
      </c>
      <c r="E103">
        <v>44.345001000000003</v>
      </c>
      <c r="F103">
        <v>43.149811</v>
      </c>
      <c r="G103">
        <v>113924800</v>
      </c>
      <c r="H103" s="2">
        <f t="shared" si="1"/>
        <v>-4.7690737758866453E-3</v>
      </c>
    </row>
    <row r="104" spans="1:8" x14ac:dyDescent="0.35">
      <c r="A104" s="1">
        <v>43615</v>
      </c>
      <c r="B104">
        <v>44.487499</v>
      </c>
      <c r="C104">
        <v>44.807499</v>
      </c>
      <c r="D104">
        <v>44.167499999999997</v>
      </c>
      <c r="E104">
        <v>44.575001</v>
      </c>
      <c r="F104">
        <v>43.373610999999997</v>
      </c>
      <c r="G104">
        <v>84873600</v>
      </c>
      <c r="H104" s="2">
        <f t="shared" si="1"/>
        <v>5.1866049117914592E-3</v>
      </c>
    </row>
    <row r="105" spans="1:8" x14ac:dyDescent="0.35">
      <c r="A105" s="1">
        <v>43616</v>
      </c>
      <c r="B105">
        <v>44.057499</v>
      </c>
      <c r="C105">
        <v>44.497501</v>
      </c>
      <c r="D105">
        <v>43.747501</v>
      </c>
      <c r="E105">
        <v>43.767502</v>
      </c>
      <c r="F105">
        <v>42.587874999999997</v>
      </c>
      <c r="G105">
        <v>108174400</v>
      </c>
      <c r="H105" s="2">
        <f t="shared" si="1"/>
        <v>-1.8115512773628439E-2</v>
      </c>
    </row>
    <row r="106" spans="1:8" x14ac:dyDescent="0.35">
      <c r="A106" s="1">
        <v>43619</v>
      </c>
      <c r="B106">
        <v>43.900002000000001</v>
      </c>
      <c r="C106">
        <v>44.48</v>
      </c>
      <c r="D106">
        <v>42.567501</v>
      </c>
      <c r="E106">
        <v>43.325001</v>
      </c>
      <c r="F106">
        <v>42.157302999999999</v>
      </c>
      <c r="G106">
        <v>161584400</v>
      </c>
      <c r="H106" s="2">
        <f t="shared" si="1"/>
        <v>-1.0110264003643565E-2</v>
      </c>
    </row>
    <row r="107" spans="1:8" x14ac:dyDescent="0.35">
      <c r="A107" s="1">
        <v>43620</v>
      </c>
      <c r="B107">
        <v>43.860000999999997</v>
      </c>
      <c r="C107">
        <v>44.957500000000003</v>
      </c>
      <c r="D107">
        <v>43.630001</v>
      </c>
      <c r="E107">
        <v>44.91</v>
      </c>
      <c r="F107">
        <v>43.699593</v>
      </c>
      <c r="G107">
        <v>123872000</v>
      </c>
      <c r="H107" s="2">
        <f t="shared" si="1"/>
        <v>3.658393452777986E-2</v>
      </c>
    </row>
    <row r="108" spans="1:8" x14ac:dyDescent="0.35">
      <c r="A108" s="1">
        <v>43621</v>
      </c>
      <c r="B108">
        <v>46.07</v>
      </c>
      <c r="C108">
        <v>46.247501</v>
      </c>
      <c r="D108">
        <v>45.284999999999997</v>
      </c>
      <c r="E108">
        <v>45.634998000000003</v>
      </c>
      <c r="F108">
        <v>44.405045000000001</v>
      </c>
      <c r="G108">
        <v>119093600</v>
      </c>
      <c r="H108" s="2">
        <f t="shared" si="1"/>
        <v>1.614335337341366E-2</v>
      </c>
    </row>
    <row r="109" spans="1:8" x14ac:dyDescent="0.35">
      <c r="A109" s="1">
        <v>43622</v>
      </c>
      <c r="B109">
        <v>45.77</v>
      </c>
      <c r="C109">
        <v>46.3675</v>
      </c>
      <c r="D109">
        <v>45.537497999999999</v>
      </c>
      <c r="E109">
        <v>46.305</v>
      </c>
      <c r="F109">
        <v>45.056987999999997</v>
      </c>
      <c r="G109">
        <v>90105200</v>
      </c>
      <c r="H109" s="2">
        <f t="shared" si="1"/>
        <v>1.4681758066473316E-2</v>
      </c>
    </row>
    <row r="110" spans="1:8" x14ac:dyDescent="0.35">
      <c r="A110" s="1">
        <v>43623</v>
      </c>
      <c r="B110">
        <v>46.627499</v>
      </c>
      <c r="C110">
        <v>47.98</v>
      </c>
      <c r="D110">
        <v>46.442501</v>
      </c>
      <c r="E110">
        <v>47.537497999999999</v>
      </c>
      <c r="F110">
        <v>46.256264000000002</v>
      </c>
      <c r="G110">
        <v>122737600</v>
      </c>
      <c r="H110" s="2">
        <f t="shared" si="1"/>
        <v>2.6616952812871242E-2</v>
      </c>
    </row>
    <row r="111" spans="1:8" x14ac:dyDescent="0.35">
      <c r="A111" s="1">
        <v>43626</v>
      </c>
      <c r="B111">
        <v>47.952499000000003</v>
      </c>
      <c r="C111">
        <v>48.842498999999997</v>
      </c>
      <c r="D111">
        <v>47.904998999999997</v>
      </c>
      <c r="E111">
        <v>48.145000000000003</v>
      </c>
      <c r="F111">
        <v>46.847400999999998</v>
      </c>
      <c r="G111">
        <v>104883600</v>
      </c>
      <c r="H111" s="2">
        <f t="shared" si="1"/>
        <v>1.277942730599757E-2</v>
      </c>
    </row>
    <row r="112" spans="1:8" x14ac:dyDescent="0.35">
      <c r="A112" s="1">
        <v>43627</v>
      </c>
      <c r="B112">
        <v>48.715000000000003</v>
      </c>
      <c r="C112">
        <v>49</v>
      </c>
      <c r="D112">
        <v>48.400002000000001</v>
      </c>
      <c r="E112">
        <v>48.702499000000003</v>
      </c>
      <c r="F112">
        <v>47.389865999999998</v>
      </c>
      <c r="G112">
        <v>107731600</v>
      </c>
      <c r="H112" s="2">
        <f t="shared" si="1"/>
        <v>1.1579582511164199E-2</v>
      </c>
    </row>
    <row r="113" spans="1:8" x14ac:dyDescent="0.35">
      <c r="A113" s="1">
        <v>43628</v>
      </c>
      <c r="B113">
        <v>48.487499</v>
      </c>
      <c r="C113">
        <v>48.9925</v>
      </c>
      <c r="D113">
        <v>48.347499999999997</v>
      </c>
      <c r="E113">
        <v>48.547500999999997</v>
      </c>
      <c r="F113">
        <v>47.239052000000001</v>
      </c>
      <c r="G113">
        <v>73012800</v>
      </c>
      <c r="H113" s="2">
        <f t="shared" si="1"/>
        <v>-3.1825471625184232E-3</v>
      </c>
    </row>
    <row r="114" spans="1:8" x14ac:dyDescent="0.35">
      <c r="A114" s="1">
        <v>43629</v>
      </c>
      <c r="B114">
        <v>48.674999</v>
      </c>
      <c r="C114">
        <v>49.197498000000003</v>
      </c>
      <c r="D114">
        <v>48.400002000000001</v>
      </c>
      <c r="E114">
        <v>48.537497999999999</v>
      </c>
      <c r="F114">
        <v>47.229323999999998</v>
      </c>
      <c r="G114">
        <v>86698400</v>
      </c>
      <c r="H114" s="2">
        <f t="shared" si="1"/>
        <v>-2.0604562117410019E-4</v>
      </c>
    </row>
    <row r="115" spans="1:8" x14ac:dyDescent="0.35">
      <c r="A115" s="1">
        <v>43630</v>
      </c>
      <c r="B115">
        <v>47.887501</v>
      </c>
      <c r="C115">
        <v>48.397499000000003</v>
      </c>
      <c r="D115">
        <v>47.575001</v>
      </c>
      <c r="E115">
        <v>48.185001</v>
      </c>
      <c r="F115">
        <v>46.886318000000003</v>
      </c>
      <c r="G115">
        <v>75046000</v>
      </c>
      <c r="H115" s="2">
        <f t="shared" si="1"/>
        <v>-7.2623644506768503E-3</v>
      </c>
    </row>
    <row r="116" spans="1:8" x14ac:dyDescent="0.35">
      <c r="A116" s="1">
        <v>43633</v>
      </c>
      <c r="B116">
        <v>48.224997999999999</v>
      </c>
      <c r="C116">
        <v>48.740001999999997</v>
      </c>
      <c r="D116">
        <v>48.042499999999997</v>
      </c>
      <c r="E116">
        <v>48.472499999999997</v>
      </c>
      <c r="F116">
        <v>47.166069</v>
      </c>
      <c r="G116">
        <v>58676400</v>
      </c>
      <c r="H116" s="2">
        <f t="shared" si="1"/>
        <v>5.9665662349990267E-3</v>
      </c>
    </row>
    <row r="117" spans="1:8" x14ac:dyDescent="0.35">
      <c r="A117" s="1">
        <v>43634</v>
      </c>
      <c r="B117">
        <v>49.012501</v>
      </c>
      <c r="C117">
        <v>50.072498000000003</v>
      </c>
      <c r="D117">
        <v>48.802501999999997</v>
      </c>
      <c r="E117">
        <v>49.612499</v>
      </c>
      <c r="F117">
        <v>48.275340999999997</v>
      </c>
      <c r="G117">
        <v>106204000</v>
      </c>
      <c r="H117" s="2">
        <f t="shared" si="1"/>
        <v>2.3518469235133344E-2</v>
      </c>
    </row>
    <row r="118" spans="1:8" x14ac:dyDescent="0.35">
      <c r="A118" s="1">
        <v>43635</v>
      </c>
      <c r="B118">
        <v>49.919998</v>
      </c>
      <c r="C118">
        <v>49.970001000000003</v>
      </c>
      <c r="D118">
        <v>49.327499000000003</v>
      </c>
      <c r="E118">
        <v>49.467498999999997</v>
      </c>
      <c r="F118">
        <v>48.134253999999999</v>
      </c>
      <c r="G118">
        <v>84496800</v>
      </c>
      <c r="H118" s="2">
        <f t="shared" si="1"/>
        <v>-2.9226506006078123E-3</v>
      </c>
    </row>
    <row r="119" spans="1:8" x14ac:dyDescent="0.35">
      <c r="A119" s="1">
        <v>43636</v>
      </c>
      <c r="B119">
        <v>50.092498999999997</v>
      </c>
      <c r="C119">
        <v>50.152500000000003</v>
      </c>
      <c r="D119">
        <v>49.5075</v>
      </c>
      <c r="E119">
        <v>49.865001999999997</v>
      </c>
      <c r="F119">
        <v>48.521034</v>
      </c>
      <c r="G119">
        <v>86056000</v>
      </c>
      <c r="H119" s="2">
        <f t="shared" si="1"/>
        <v>8.0356397237708599E-3</v>
      </c>
    </row>
    <row r="120" spans="1:8" x14ac:dyDescent="0.35">
      <c r="A120" s="1">
        <v>43637</v>
      </c>
      <c r="B120">
        <v>49.700001</v>
      </c>
      <c r="C120">
        <v>50.212502000000001</v>
      </c>
      <c r="D120">
        <v>49.537497999999999</v>
      </c>
      <c r="E120">
        <v>49.695</v>
      </c>
      <c r="F120">
        <v>48.355620999999999</v>
      </c>
      <c r="G120">
        <v>191202400</v>
      </c>
      <c r="H120" s="2">
        <f t="shared" si="1"/>
        <v>-3.4092448246567653E-3</v>
      </c>
    </row>
    <row r="121" spans="1:8" x14ac:dyDescent="0.35">
      <c r="A121" s="1">
        <v>43640</v>
      </c>
      <c r="B121">
        <v>49.634998000000003</v>
      </c>
      <c r="C121">
        <v>50.040000999999997</v>
      </c>
      <c r="D121">
        <v>49.542499999999997</v>
      </c>
      <c r="E121">
        <v>49.645000000000003</v>
      </c>
      <c r="F121">
        <v>48.306969000000002</v>
      </c>
      <c r="G121">
        <v>72881600</v>
      </c>
      <c r="H121" s="2">
        <f t="shared" si="1"/>
        <v>-1.0061374383740773E-3</v>
      </c>
    </row>
    <row r="122" spans="1:8" x14ac:dyDescent="0.35">
      <c r="A122" s="1">
        <v>43641</v>
      </c>
      <c r="B122">
        <v>49.607498</v>
      </c>
      <c r="C122">
        <v>49.814999</v>
      </c>
      <c r="D122">
        <v>48.822498000000003</v>
      </c>
      <c r="E122">
        <v>48.892502</v>
      </c>
      <c r="F122">
        <v>47.574756999999998</v>
      </c>
      <c r="G122">
        <v>84281200</v>
      </c>
      <c r="H122" s="2">
        <f t="shared" si="1"/>
        <v>-1.5157578809547823E-2</v>
      </c>
    </row>
    <row r="123" spans="1:8" x14ac:dyDescent="0.35">
      <c r="A123" s="1">
        <v>43642</v>
      </c>
      <c r="B123">
        <v>49.442501</v>
      </c>
      <c r="C123">
        <v>50.247501</v>
      </c>
      <c r="D123">
        <v>49.337502000000001</v>
      </c>
      <c r="E123">
        <v>49.950001</v>
      </c>
      <c r="F123">
        <v>48.603752</v>
      </c>
      <c r="G123">
        <v>104270000</v>
      </c>
      <c r="H123" s="2">
        <f t="shared" si="1"/>
        <v>2.1629062877575711E-2</v>
      </c>
    </row>
    <row r="124" spans="1:8" x14ac:dyDescent="0.35">
      <c r="A124" s="1">
        <v>43643</v>
      </c>
      <c r="B124">
        <v>50.072498000000003</v>
      </c>
      <c r="C124">
        <v>50.392502</v>
      </c>
      <c r="D124">
        <v>49.892502</v>
      </c>
      <c r="E124">
        <v>49.935001</v>
      </c>
      <c r="F124">
        <v>48.589153000000003</v>
      </c>
      <c r="G124">
        <v>83598800</v>
      </c>
      <c r="H124" s="2">
        <f t="shared" si="1"/>
        <v>-3.0030029428829152E-4</v>
      </c>
    </row>
    <row r="125" spans="1:8" x14ac:dyDescent="0.35">
      <c r="A125" s="1">
        <v>43644</v>
      </c>
      <c r="B125">
        <v>49.669998</v>
      </c>
      <c r="C125">
        <v>49.875</v>
      </c>
      <c r="D125">
        <v>49.262501</v>
      </c>
      <c r="E125">
        <v>49.48</v>
      </c>
      <c r="F125">
        <v>48.146416000000002</v>
      </c>
      <c r="G125">
        <v>124442400</v>
      </c>
      <c r="H125" s="2">
        <f t="shared" si="1"/>
        <v>-9.111865242578121E-3</v>
      </c>
    </row>
    <row r="126" spans="1:8" x14ac:dyDescent="0.35">
      <c r="A126" s="1">
        <v>43647</v>
      </c>
      <c r="B126">
        <v>50.792499999999997</v>
      </c>
      <c r="C126">
        <v>51.122501</v>
      </c>
      <c r="D126">
        <v>50.162497999999999</v>
      </c>
      <c r="E126">
        <v>50.387501</v>
      </c>
      <c r="F126">
        <v>49.029452999999997</v>
      </c>
      <c r="G126">
        <v>109012000</v>
      </c>
      <c r="H126" s="2">
        <f t="shared" si="1"/>
        <v>1.8340763945028371E-2</v>
      </c>
    </row>
    <row r="127" spans="1:8" x14ac:dyDescent="0.35">
      <c r="A127" s="1">
        <v>43648</v>
      </c>
      <c r="B127">
        <v>50.352500999999997</v>
      </c>
      <c r="C127">
        <v>50.782501000000003</v>
      </c>
      <c r="D127">
        <v>50.34</v>
      </c>
      <c r="E127">
        <v>50.682499</v>
      </c>
      <c r="F127">
        <v>49.316502</v>
      </c>
      <c r="G127">
        <v>67740800</v>
      </c>
      <c r="H127" s="2">
        <f t="shared" si="1"/>
        <v>5.8545868349375585E-3</v>
      </c>
    </row>
    <row r="128" spans="1:8" x14ac:dyDescent="0.35">
      <c r="A128" s="1">
        <v>43649</v>
      </c>
      <c r="B128">
        <v>50.82</v>
      </c>
      <c r="C128">
        <v>51.110000999999997</v>
      </c>
      <c r="D128">
        <v>50.672500999999997</v>
      </c>
      <c r="E128">
        <v>51.102500999999997</v>
      </c>
      <c r="F128">
        <v>49.725185000000003</v>
      </c>
      <c r="G128">
        <v>45448000</v>
      </c>
      <c r="H128" s="2">
        <f t="shared" si="1"/>
        <v>8.2869236578093641E-3</v>
      </c>
    </row>
    <row r="129" spans="1:8" x14ac:dyDescent="0.35">
      <c r="A129" s="1">
        <v>43651</v>
      </c>
      <c r="B129">
        <v>50.837502000000001</v>
      </c>
      <c r="C129">
        <v>51.27</v>
      </c>
      <c r="D129">
        <v>50.724997999999999</v>
      </c>
      <c r="E129">
        <v>51.057499</v>
      </c>
      <c r="F129">
        <v>49.681407999999998</v>
      </c>
      <c r="G129">
        <v>69062000</v>
      </c>
      <c r="H129" s="2">
        <f t="shared" si="1"/>
        <v>-8.8062226152096912E-4</v>
      </c>
    </row>
    <row r="130" spans="1:8" x14ac:dyDescent="0.35">
      <c r="A130" s="1">
        <v>43654</v>
      </c>
      <c r="B130">
        <v>50.202499000000003</v>
      </c>
      <c r="C130">
        <v>50.349997999999999</v>
      </c>
      <c r="D130">
        <v>49.602500999999997</v>
      </c>
      <c r="E130">
        <v>50.005001</v>
      </c>
      <c r="F130">
        <v>48.657260999999998</v>
      </c>
      <c r="G130">
        <v>101354400</v>
      </c>
      <c r="H130" s="2">
        <f t="shared" si="1"/>
        <v>-2.0613974844322036E-2</v>
      </c>
    </row>
    <row r="131" spans="1:8" x14ac:dyDescent="0.35">
      <c r="A131" s="1">
        <v>43655</v>
      </c>
      <c r="B131">
        <v>49.799999</v>
      </c>
      <c r="C131">
        <v>50.377499</v>
      </c>
      <c r="D131">
        <v>49.702499000000003</v>
      </c>
      <c r="E131">
        <v>50.310001</v>
      </c>
      <c r="F131">
        <v>48.954048</v>
      </c>
      <c r="G131">
        <v>82312000</v>
      </c>
      <c r="H131" s="2">
        <f t="shared" si="1"/>
        <v>6.0993899390182627E-3</v>
      </c>
    </row>
    <row r="132" spans="1:8" x14ac:dyDescent="0.35">
      <c r="A132" s="1">
        <v>43656</v>
      </c>
      <c r="B132">
        <v>50.462502000000001</v>
      </c>
      <c r="C132">
        <v>50.932499</v>
      </c>
      <c r="D132">
        <v>50.389999000000003</v>
      </c>
      <c r="E132">
        <v>50.807499</v>
      </c>
      <c r="F132">
        <v>49.438136999999998</v>
      </c>
      <c r="G132">
        <v>71588400</v>
      </c>
      <c r="H132" s="2">
        <f t="shared" ref="H132:H195" si="2">E132/E131-1</f>
        <v>9.8886501711656916E-3</v>
      </c>
    </row>
    <row r="133" spans="1:8" x14ac:dyDescent="0.35">
      <c r="A133" s="1">
        <v>43657</v>
      </c>
      <c r="B133">
        <v>50.827499000000003</v>
      </c>
      <c r="C133">
        <v>51.097499999999997</v>
      </c>
      <c r="D133">
        <v>50.427501999999997</v>
      </c>
      <c r="E133">
        <v>50.4375</v>
      </c>
      <c r="F133">
        <v>49.078116999999999</v>
      </c>
      <c r="G133">
        <v>80767200</v>
      </c>
      <c r="H133" s="2">
        <f t="shared" si="2"/>
        <v>-7.2823698722112029E-3</v>
      </c>
    </row>
    <row r="134" spans="1:8" x14ac:dyDescent="0.35">
      <c r="A134" s="1">
        <v>43658</v>
      </c>
      <c r="B134">
        <v>50.612499</v>
      </c>
      <c r="C134">
        <v>51</v>
      </c>
      <c r="D134">
        <v>50.549999</v>
      </c>
      <c r="E134">
        <v>50.825001</v>
      </c>
      <c r="F134">
        <v>49.455165999999998</v>
      </c>
      <c r="G134">
        <v>70380800</v>
      </c>
      <c r="H134" s="2">
        <f t="shared" si="2"/>
        <v>7.6827955390335045E-3</v>
      </c>
    </row>
    <row r="135" spans="1:8" x14ac:dyDescent="0.35">
      <c r="A135" s="1">
        <v>43661</v>
      </c>
      <c r="B135">
        <v>51.022499000000003</v>
      </c>
      <c r="C135">
        <v>51.467498999999997</v>
      </c>
      <c r="D135">
        <v>51</v>
      </c>
      <c r="E135">
        <v>51.302501999999997</v>
      </c>
      <c r="F135">
        <v>49.919795999999998</v>
      </c>
      <c r="G135">
        <v>67789600</v>
      </c>
      <c r="H135" s="2">
        <f t="shared" si="2"/>
        <v>9.3950022745694639E-3</v>
      </c>
    </row>
    <row r="136" spans="1:8" x14ac:dyDescent="0.35">
      <c r="A136" s="1">
        <v>43662</v>
      </c>
      <c r="B136">
        <v>51.147499000000003</v>
      </c>
      <c r="C136">
        <v>51.527500000000003</v>
      </c>
      <c r="D136">
        <v>50.875</v>
      </c>
      <c r="E136">
        <v>51.125</v>
      </c>
      <c r="F136">
        <v>49.747078000000002</v>
      </c>
      <c r="G136">
        <v>67467200</v>
      </c>
      <c r="H136" s="2">
        <f t="shared" si="2"/>
        <v>-3.4599092262594944E-3</v>
      </c>
    </row>
    <row r="137" spans="1:8" x14ac:dyDescent="0.35">
      <c r="A137" s="1">
        <v>43663</v>
      </c>
      <c r="B137">
        <v>51.012501</v>
      </c>
      <c r="C137">
        <v>51.272499000000003</v>
      </c>
      <c r="D137">
        <v>50.817501</v>
      </c>
      <c r="E137">
        <v>50.837502000000001</v>
      </c>
      <c r="F137">
        <v>49.467331000000001</v>
      </c>
      <c r="G137">
        <v>56430000</v>
      </c>
      <c r="H137" s="2">
        <f t="shared" si="2"/>
        <v>-5.6234327628361669E-3</v>
      </c>
    </row>
    <row r="138" spans="1:8" x14ac:dyDescent="0.35">
      <c r="A138" s="1">
        <v>43664</v>
      </c>
      <c r="B138">
        <v>51</v>
      </c>
      <c r="C138">
        <v>51.470001000000003</v>
      </c>
      <c r="D138">
        <v>50.924999</v>
      </c>
      <c r="E138">
        <v>51.415000999999997</v>
      </c>
      <c r="F138">
        <v>50.029263</v>
      </c>
      <c r="G138">
        <v>74162400</v>
      </c>
      <c r="H138" s="2">
        <f t="shared" si="2"/>
        <v>1.1359704495315315E-2</v>
      </c>
    </row>
    <row r="139" spans="1:8" x14ac:dyDescent="0.35">
      <c r="A139" s="1">
        <v>43665</v>
      </c>
      <c r="B139">
        <v>51.447498000000003</v>
      </c>
      <c r="C139">
        <v>51.625</v>
      </c>
      <c r="D139">
        <v>50.59</v>
      </c>
      <c r="E139">
        <v>50.647499000000003</v>
      </c>
      <c r="F139">
        <v>49.282451999999999</v>
      </c>
      <c r="G139">
        <v>83717200</v>
      </c>
      <c r="H139" s="2">
        <f t="shared" si="2"/>
        <v>-1.492758893459889E-2</v>
      </c>
    </row>
    <row r="140" spans="1:8" x14ac:dyDescent="0.35">
      <c r="A140" s="1">
        <v>43668</v>
      </c>
      <c r="B140">
        <v>50.912497999999999</v>
      </c>
      <c r="C140">
        <v>51.807499</v>
      </c>
      <c r="D140">
        <v>50.902500000000003</v>
      </c>
      <c r="E140">
        <v>51.805</v>
      </c>
      <c r="F140">
        <v>50.408752</v>
      </c>
      <c r="G140">
        <v>89111600</v>
      </c>
      <c r="H140" s="2">
        <f t="shared" si="2"/>
        <v>2.2854060375222085E-2</v>
      </c>
    </row>
    <row r="141" spans="1:8" x14ac:dyDescent="0.35">
      <c r="A141" s="1">
        <v>43669</v>
      </c>
      <c r="B141">
        <v>52.115001999999997</v>
      </c>
      <c r="C141">
        <v>52.227500999999997</v>
      </c>
      <c r="D141">
        <v>51.822498000000003</v>
      </c>
      <c r="E141">
        <v>52.209999000000003</v>
      </c>
      <c r="F141">
        <v>50.802836999999997</v>
      </c>
      <c r="G141">
        <v>73420800</v>
      </c>
      <c r="H141" s="2">
        <f t="shared" si="2"/>
        <v>7.8177589035808293E-3</v>
      </c>
    </row>
    <row r="142" spans="1:8" x14ac:dyDescent="0.35">
      <c r="A142" s="1">
        <v>43670</v>
      </c>
      <c r="B142">
        <v>51.917499999999997</v>
      </c>
      <c r="C142">
        <v>52.287497999999999</v>
      </c>
      <c r="D142">
        <v>51.792499999999997</v>
      </c>
      <c r="E142">
        <v>52.167499999999997</v>
      </c>
      <c r="F142">
        <v>50.761482000000001</v>
      </c>
      <c r="G142">
        <v>59966400</v>
      </c>
      <c r="H142" s="2">
        <f t="shared" si="2"/>
        <v>-8.1400116479612983E-4</v>
      </c>
    </row>
    <row r="143" spans="1:8" x14ac:dyDescent="0.35">
      <c r="A143" s="1">
        <v>43671</v>
      </c>
      <c r="B143">
        <v>52.222499999999997</v>
      </c>
      <c r="C143">
        <v>52.310001</v>
      </c>
      <c r="D143">
        <v>51.682499</v>
      </c>
      <c r="E143">
        <v>51.755001</v>
      </c>
      <c r="F143">
        <v>50.360100000000003</v>
      </c>
      <c r="G143">
        <v>55638400</v>
      </c>
      <c r="H143" s="2">
        <f t="shared" si="2"/>
        <v>-7.9072027603391826E-3</v>
      </c>
    </row>
    <row r="144" spans="1:8" x14ac:dyDescent="0.35">
      <c r="A144" s="1">
        <v>43672</v>
      </c>
      <c r="B144">
        <v>51.869999</v>
      </c>
      <c r="C144">
        <v>52.432499</v>
      </c>
      <c r="D144">
        <v>51.784999999999997</v>
      </c>
      <c r="E144">
        <v>51.935001</v>
      </c>
      <c r="F144">
        <v>50.535248000000003</v>
      </c>
      <c r="G144">
        <v>70475600</v>
      </c>
      <c r="H144" s="2">
        <f t="shared" si="2"/>
        <v>3.4779247709801897E-3</v>
      </c>
    </row>
    <row r="145" spans="1:8" x14ac:dyDescent="0.35">
      <c r="A145" s="1">
        <v>43675</v>
      </c>
      <c r="B145">
        <v>52.115001999999997</v>
      </c>
      <c r="C145">
        <v>52.66</v>
      </c>
      <c r="D145">
        <v>52.110000999999997</v>
      </c>
      <c r="E145">
        <v>52.419998</v>
      </c>
      <c r="F145">
        <v>51.007171999999997</v>
      </c>
      <c r="G145">
        <v>86693600</v>
      </c>
      <c r="H145" s="2">
        <f t="shared" si="2"/>
        <v>9.3385383780006936E-3</v>
      </c>
    </row>
    <row r="146" spans="1:8" x14ac:dyDescent="0.35">
      <c r="A146" s="1">
        <v>43676</v>
      </c>
      <c r="B146">
        <v>52.189999</v>
      </c>
      <c r="C146">
        <v>52.540000999999997</v>
      </c>
      <c r="D146">
        <v>51.827499000000003</v>
      </c>
      <c r="E146">
        <v>52.195</v>
      </c>
      <c r="F146">
        <v>50.788249999999998</v>
      </c>
      <c r="G146">
        <v>135742800</v>
      </c>
      <c r="H146" s="2">
        <f t="shared" si="2"/>
        <v>-4.2922168749415235E-3</v>
      </c>
    </row>
    <row r="147" spans="1:8" x14ac:dyDescent="0.35">
      <c r="A147" s="1">
        <v>43677</v>
      </c>
      <c r="B147">
        <v>54.104999999999997</v>
      </c>
      <c r="C147">
        <v>55.342498999999997</v>
      </c>
      <c r="D147">
        <v>52.825001</v>
      </c>
      <c r="E147">
        <v>53.259998000000003</v>
      </c>
      <c r="F147">
        <v>51.824534999999997</v>
      </c>
      <c r="G147">
        <v>277125600</v>
      </c>
      <c r="H147" s="2">
        <f t="shared" si="2"/>
        <v>2.0404214963119172E-2</v>
      </c>
    </row>
    <row r="148" spans="1:8" x14ac:dyDescent="0.35">
      <c r="A148" s="1">
        <v>43678</v>
      </c>
      <c r="B148">
        <v>53.474997999999999</v>
      </c>
      <c r="C148">
        <v>54.5075</v>
      </c>
      <c r="D148">
        <v>51.685001</v>
      </c>
      <c r="E148">
        <v>52.107498</v>
      </c>
      <c r="F148">
        <v>50.703094</v>
      </c>
      <c r="G148">
        <v>216071600</v>
      </c>
      <c r="H148" s="2">
        <f t="shared" si="2"/>
        <v>-2.1639129614687613E-2</v>
      </c>
    </row>
    <row r="149" spans="1:8" x14ac:dyDescent="0.35">
      <c r="A149" s="1">
        <v>43679</v>
      </c>
      <c r="B149">
        <v>51.3825</v>
      </c>
      <c r="C149">
        <v>51.607498</v>
      </c>
      <c r="D149">
        <v>50.407501000000003</v>
      </c>
      <c r="E149">
        <v>51.005001</v>
      </c>
      <c r="F149">
        <v>49.630318000000003</v>
      </c>
      <c r="G149">
        <v>163448400</v>
      </c>
      <c r="H149" s="2">
        <f t="shared" si="2"/>
        <v>-2.1158125842081321E-2</v>
      </c>
    </row>
    <row r="150" spans="1:8" x14ac:dyDescent="0.35">
      <c r="A150" s="1">
        <v>43682</v>
      </c>
      <c r="B150">
        <v>49.497501</v>
      </c>
      <c r="C150">
        <v>49.662497999999999</v>
      </c>
      <c r="D150">
        <v>48.145000000000003</v>
      </c>
      <c r="E150">
        <v>48.334999000000003</v>
      </c>
      <c r="F150">
        <v>47.032268999999999</v>
      </c>
      <c r="G150">
        <v>209572000</v>
      </c>
      <c r="H150" s="2">
        <f t="shared" si="2"/>
        <v>-5.234784722384378E-2</v>
      </c>
    </row>
    <row r="151" spans="1:8" x14ac:dyDescent="0.35">
      <c r="A151" s="1">
        <v>43683</v>
      </c>
      <c r="B151">
        <v>49.077499000000003</v>
      </c>
      <c r="C151">
        <v>49.517502</v>
      </c>
      <c r="D151">
        <v>48.509998000000003</v>
      </c>
      <c r="E151">
        <v>49.25</v>
      </c>
      <c r="F151">
        <v>47.922611000000003</v>
      </c>
      <c r="G151">
        <v>143299200</v>
      </c>
      <c r="H151" s="2">
        <f t="shared" si="2"/>
        <v>1.8930402791567102E-2</v>
      </c>
    </row>
    <row r="152" spans="1:8" x14ac:dyDescent="0.35">
      <c r="A152" s="1">
        <v>43684</v>
      </c>
      <c r="B152">
        <v>48.852500999999997</v>
      </c>
      <c r="C152">
        <v>49.889999000000003</v>
      </c>
      <c r="D152">
        <v>48.455002</v>
      </c>
      <c r="E152">
        <v>49.759998000000003</v>
      </c>
      <c r="F152">
        <v>48.418864999999997</v>
      </c>
      <c r="G152">
        <v>133457600</v>
      </c>
      <c r="H152" s="2">
        <f t="shared" si="2"/>
        <v>1.0355289340101548E-2</v>
      </c>
    </row>
    <row r="153" spans="1:8" x14ac:dyDescent="0.35">
      <c r="A153" s="1">
        <v>43685</v>
      </c>
      <c r="B153">
        <v>50.049999</v>
      </c>
      <c r="C153">
        <v>50.8825</v>
      </c>
      <c r="D153">
        <v>49.847499999999997</v>
      </c>
      <c r="E153">
        <v>50.857498</v>
      </c>
      <c r="F153">
        <v>49.486797000000003</v>
      </c>
      <c r="G153">
        <v>108038000</v>
      </c>
      <c r="H153" s="2">
        <f t="shared" si="2"/>
        <v>2.2055869053692501E-2</v>
      </c>
    </row>
    <row r="154" spans="1:8" x14ac:dyDescent="0.35">
      <c r="A154" s="1">
        <v>43686</v>
      </c>
      <c r="B154">
        <v>50.325001</v>
      </c>
      <c r="C154">
        <v>50.689999</v>
      </c>
      <c r="D154">
        <v>49.822498000000003</v>
      </c>
      <c r="E154">
        <v>50.247501</v>
      </c>
      <c r="F154">
        <v>49.079002000000003</v>
      </c>
      <c r="G154">
        <v>98478800</v>
      </c>
      <c r="H154" s="2">
        <f t="shared" si="2"/>
        <v>-1.1994239276183039E-2</v>
      </c>
    </row>
    <row r="155" spans="1:8" x14ac:dyDescent="0.35">
      <c r="A155" s="1">
        <v>43689</v>
      </c>
      <c r="B155">
        <v>49.904998999999997</v>
      </c>
      <c r="C155">
        <v>50.512501</v>
      </c>
      <c r="D155">
        <v>49.787497999999999</v>
      </c>
      <c r="E155">
        <v>50.119999</v>
      </c>
      <c r="F155">
        <v>48.954456</v>
      </c>
      <c r="G155">
        <v>89927600</v>
      </c>
      <c r="H155" s="2">
        <f t="shared" si="2"/>
        <v>-2.5374794260912825E-3</v>
      </c>
    </row>
    <row r="156" spans="1:8" x14ac:dyDescent="0.35">
      <c r="A156" s="1">
        <v>43690</v>
      </c>
      <c r="B156">
        <v>50.255001</v>
      </c>
      <c r="C156">
        <v>53.034999999999997</v>
      </c>
      <c r="D156">
        <v>50.119999</v>
      </c>
      <c r="E156">
        <v>52.2425</v>
      </c>
      <c r="F156">
        <v>51.027599000000002</v>
      </c>
      <c r="G156">
        <v>188874000</v>
      </c>
      <c r="H156" s="2">
        <f t="shared" si="2"/>
        <v>4.2348384723631005E-2</v>
      </c>
    </row>
    <row r="157" spans="1:8" x14ac:dyDescent="0.35">
      <c r="A157" s="1">
        <v>43691</v>
      </c>
      <c r="B157">
        <v>50.790000999999997</v>
      </c>
      <c r="C157">
        <v>51.610000999999997</v>
      </c>
      <c r="D157">
        <v>50.647499000000003</v>
      </c>
      <c r="E157">
        <v>50.6875</v>
      </c>
      <c r="F157">
        <v>49.508761999999997</v>
      </c>
      <c r="G157">
        <v>146189600</v>
      </c>
      <c r="H157" s="2">
        <f t="shared" si="2"/>
        <v>-2.9765038043738312E-2</v>
      </c>
    </row>
    <row r="158" spans="1:8" x14ac:dyDescent="0.35">
      <c r="A158" s="1">
        <v>43692</v>
      </c>
      <c r="B158">
        <v>50.865001999999997</v>
      </c>
      <c r="C158">
        <v>51.284999999999997</v>
      </c>
      <c r="D158">
        <v>49.917499999999997</v>
      </c>
      <c r="E158">
        <v>50.435001</v>
      </c>
      <c r="F158">
        <v>49.262146000000001</v>
      </c>
      <c r="G158">
        <v>108909600</v>
      </c>
      <c r="H158" s="2">
        <f t="shared" si="2"/>
        <v>-4.9814845869297075E-3</v>
      </c>
    </row>
    <row r="159" spans="1:8" x14ac:dyDescent="0.35">
      <c r="A159" s="1">
        <v>43693</v>
      </c>
      <c r="B159">
        <v>51.07</v>
      </c>
      <c r="C159">
        <v>51.790000999999997</v>
      </c>
      <c r="D159">
        <v>50.959999000000003</v>
      </c>
      <c r="E159">
        <v>51.625</v>
      </c>
      <c r="F159">
        <v>50.424461000000001</v>
      </c>
      <c r="G159">
        <v>110481600</v>
      </c>
      <c r="H159" s="2">
        <f t="shared" si="2"/>
        <v>2.3594705589477405E-2</v>
      </c>
    </row>
    <row r="160" spans="1:8" x14ac:dyDescent="0.35">
      <c r="A160" s="1">
        <v>43696</v>
      </c>
      <c r="B160">
        <v>52.654998999999997</v>
      </c>
      <c r="C160">
        <v>53.182499</v>
      </c>
      <c r="D160">
        <v>52.5075</v>
      </c>
      <c r="E160">
        <v>52.587502000000001</v>
      </c>
      <c r="F160">
        <v>51.364586000000003</v>
      </c>
      <c r="G160">
        <v>97654400</v>
      </c>
      <c r="H160" s="2">
        <f t="shared" si="2"/>
        <v>1.8644106537530236E-2</v>
      </c>
    </row>
    <row r="161" spans="1:8" x14ac:dyDescent="0.35">
      <c r="A161" s="1">
        <v>43697</v>
      </c>
      <c r="B161">
        <v>52.720001000000003</v>
      </c>
      <c r="C161">
        <v>53.337502000000001</v>
      </c>
      <c r="D161">
        <v>52.580002</v>
      </c>
      <c r="E161">
        <v>52.59</v>
      </c>
      <c r="F161">
        <v>51.367027</v>
      </c>
      <c r="G161">
        <v>107537200</v>
      </c>
      <c r="H161" s="2">
        <f t="shared" si="2"/>
        <v>4.7501780936487492E-5</v>
      </c>
    </row>
    <row r="162" spans="1:8" x14ac:dyDescent="0.35">
      <c r="A162" s="1">
        <v>43698</v>
      </c>
      <c r="B162">
        <v>53.247501</v>
      </c>
      <c r="C162">
        <v>53.412497999999999</v>
      </c>
      <c r="D162">
        <v>52.900002000000001</v>
      </c>
      <c r="E162">
        <v>53.16</v>
      </c>
      <c r="F162">
        <v>51.923771000000002</v>
      </c>
      <c r="G162">
        <v>86141600</v>
      </c>
      <c r="H162" s="2">
        <f t="shared" si="2"/>
        <v>1.0838562464346779E-2</v>
      </c>
    </row>
    <row r="163" spans="1:8" x14ac:dyDescent="0.35">
      <c r="A163" s="1">
        <v>43699</v>
      </c>
      <c r="B163">
        <v>53.297500999999997</v>
      </c>
      <c r="C163">
        <v>53.610000999999997</v>
      </c>
      <c r="D163">
        <v>52.6875</v>
      </c>
      <c r="E163">
        <v>53.115001999999997</v>
      </c>
      <c r="F163">
        <v>51.879818</v>
      </c>
      <c r="G163">
        <v>89014800</v>
      </c>
      <c r="H163" s="2">
        <f t="shared" si="2"/>
        <v>-8.4646350639583368E-4</v>
      </c>
    </row>
    <row r="164" spans="1:8" x14ac:dyDescent="0.35">
      <c r="A164" s="1">
        <v>43700</v>
      </c>
      <c r="B164">
        <v>52.357498</v>
      </c>
      <c r="C164">
        <v>53.012501</v>
      </c>
      <c r="D164">
        <v>50.25</v>
      </c>
      <c r="E164">
        <v>50.66</v>
      </c>
      <c r="F164">
        <v>49.481903000000003</v>
      </c>
      <c r="G164">
        <v>187272000</v>
      </c>
      <c r="H164" s="2">
        <f t="shared" si="2"/>
        <v>-4.6220500942464438E-2</v>
      </c>
    </row>
    <row r="165" spans="1:8" x14ac:dyDescent="0.35">
      <c r="A165" s="1">
        <v>43703</v>
      </c>
      <c r="B165">
        <v>51.465000000000003</v>
      </c>
      <c r="C165">
        <v>51.797500999999997</v>
      </c>
      <c r="D165">
        <v>51.264999000000003</v>
      </c>
      <c r="E165">
        <v>51.622501</v>
      </c>
      <c r="F165">
        <v>50.422020000000003</v>
      </c>
      <c r="G165">
        <v>104174400</v>
      </c>
      <c r="H165" s="2">
        <f t="shared" si="2"/>
        <v>1.8999230161863556E-2</v>
      </c>
    </row>
    <row r="166" spans="1:8" x14ac:dyDescent="0.35">
      <c r="A166" s="1">
        <v>43704</v>
      </c>
      <c r="B166">
        <v>51.965000000000003</v>
      </c>
      <c r="C166">
        <v>52.137501</v>
      </c>
      <c r="D166">
        <v>50.8825</v>
      </c>
      <c r="E166">
        <v>51.040000999999997</v>
      </c>
      <c r="F166">
        <v>49.853065000000001</v>
      </c>
      <c r="G166">
        <v>103493200</v>
      </c>
      <c r="H166" s="2">
        <f t="shared" si="2"/>
        <v>-1.1283839192525846E-2</v>
      </c>
    </row>
    <row r="167" spans="1:8" x14ac:dyDescent="0.35">
      <c r="A167" s="1">
        <v>43705</v>
      </c>
      <c r="B167">
        <v>51.025002000000001</v>
      </c>
      <c r="C167">
        <v>51.43</v>
      </c>
      <c r="D167">
        <v>50.830002</v>
      </c>
      <c r="E167">
        <v>51.3825</v>
      </c>
      <c r="F167">
        <v>50.187598999999999</v>
      </c>
      <c r="G167">
        <v>63755200</v>
      </c>
      <c r="H167" s="2">
        <f t="shared" si="2"/>
        <v>6.7104034735423479E-3</v>
      </c>
    </row>
    <row r="168" spans="1:8" x14ac:dyDescent="0.35">
      <c r="A168" s="1">
        <v>43706</v>
      </c>
      <c r="B168">
        <v>52.125</v>
      </c>
      <c r="C168">
        <v>52.330002</v>
      </c>
      <c r="D168">
        <v>51.665000999999997</v>
      </c>
      <c r="E168">
        <v>52.252499</v>
      </c>
      <c r="F168">
        <v>51.037373000000002</v>
      </c>
      <c r="G168">
        <v>83962000</v>
      </c>
      <c r="H168" s="2">
        <f t="shared" si="2"/>
        <v>1.6931815306767906E-2</v>
      </c>
    </row>
    <row r="169" spans="1:8" x14ac:dyDescent="0.35">
      <c r="A169" s="1">
        <v>43707</v>
      </c>
      <c r="B169">
        <v>52.540000999999997</v>
      </c>
      <c r="C169">
        <v>52.612499</v>
      </c>
      <c r="D169">
        <v>51.799999</v>
      </c>
      <c r="E169">
        <v>52.185001</v>
      </c>
      <c r="F169">
        <v>50.971438999999997</v>
      </c>
      <c r="G169">
        <v>84573600</v>
      </c>
      <c r="H169" s="2">
        <f t="shared" si="2"/>
        <v>-1.291765968934766E-3</v>
      </c>
    </row>
    <row r="170" spans="1:8" x14ac:dyDescent="0.35">
      <c r="A170" s="1">
        <v>43711</v>
      </c>
      <c r="B170">
        <v>51.607498</v>
      </c>
      <c r="C170">
        <v>51.744999</v>
      </c>
      <c r="D170">
        <v>51.055</v>
      </c>
      <c r="E170">
        <v>51.424999</v>
      </c>
      <c r="F170">
        <v>50.229111000000003</v>
      </c>
      <c r="G170">
        <v>80092000</v>
      </c>
      <c r="H170" s="2">
        <f t="shared" si="2"/>
        <v>-1.4563609953748946E-2</v>
      </c>
    </row>
    <row r="171" spans="1:8" x14ac:dyDescent="0.35">
      <c r="A171" s="1">
        <v>43712</v>
      </c>
      <c r="B171">
        <v>52.097499999999997</v>
      </c>
      <c r="C171">
        <v>52.369999</v>
      </c>
      <c r="D171">
        <v>51.830002</v>
      </c>
      <c r="E171">
        <v>52.297500999999997</v>
      </c>
      <c r="F171">
        <v>51.081325999999997</v>
      </c>
      <c r="G171">
        <v>76752400</v>
      </c>
      <c r="H171" s="2">
        <f t="shared" si="2"/>
        <v>1.6966495225405831E-2</v>
      </c>
    </row>
    <row r="172" spans="1:8" x14ac:dyDescent="0.35">
      <c r="A172" s="1">
        <v>43713</v>
      </c>
      <c r="B172">
        <v>53</v>
      </c>
      <c r="C172">
        <v>53.4925</v>
      </c>
      <c r="D172">
        <v>52.877499</v>
      </c>
      <c r="E172">
        <v>53.32</v>
      </c>
      <c r="F172">
        <v>52.080047999999998</v>
      </c>
      <c r="G172">
        <v>95654800</v>
      </c>
      <c r="H172" s="2">
        <f t="shared" si="2"/>
        <v>1.9551584309927206E-2</v>
      </c>
    </row>
    <row r="173" spans="1:8" x14ac:dyDescent="0.35">
      <c r="A173" s="1">
        <v>43714</v>
      </c>
      <c r="B173">
        <v>53.512501</v>
      </c>
      <c r="C173">
        <v>53.604999999999997</v>
      </c>
      <c r="D173">
        <v>53.127499</v>
      </c>
      <c r="E173">
        <v>53.314999</v>
      </c>
      <c r="F173">
        <v>52.075161000000001</v>
      </c>
      <c r="G173">
        <v>77449200</v>
      </c>
      <c r="H173" s="2">
        <f t="shared" si="2"/>
        <v>-9.3792198049502673E-5</v>
      </c>
    </row>
    <row r="174" spans="1:8" x14ac:dyDescent="0.35">
      <c r="A174" s="1">
        <v>43717</v>
      </c>
      <c r="B174">
        <v>53.709999000000003</v>
      </c>
      <c r="C174">
        <v>54.110000999999997</v>
      </c>
      <c r="D174">
        <v>52.767502</v>
      </c>
      <c r="E174">
        <v>53.542499999999997</v>
      </c>
      <c r="F174">
        <v>52.297378999999999</v>
      </c>
      <c r="G174">
        <v>109237600</v>
      </c>
      <c r="H174" s="2">
        <f t="shared" si="2"/>
        <v>4.2671106492939703E-3</v>
      </c>
    </row>
    <row r="175" spans="1:8" x14ac:dyDescent="0.35">
      <c r="A175" s="1">
        <v>43718</v>
      </c>
      <c r="B175">
        <v>53.465000000000003</v>
      </c>
      <c r="C175">
        <v>54.195</v>
      </c>
      <c r="D175">
        <v>52.927501999999997</v>
      </c>
      <c r="E175">
        <v>54.174999</v>
      </c>
      <c r="F175">
        <v>52.915165000000002</v>
      </c>
      <c r="G175">
        <v>127111600</v>
      </c>
      <c r="H175" s="2">
        <f t="shared" si="2"/>
        <v>1.1813027034598633E-2</v>
      </c>
    </row>
    <row r="176" spans="1:8" x14ac:dyDescent="0.35">
      <c r="A176" s="1">
        <v>43719</v>
      </c>
      <c r="B176">
        <v>54.517502</v>
      </c>
      <c r="C176">
        <v>55.927501999999997</v>
      </c>
      <c r="D176">
        <v>54.432499</v>
      </c>
      <c r="E176">
        <v>55.897499000000003</v>
      </c>
      <c r="F176">
        <v>54.597602999999999</v>
      </c>
      <c r="G176">
        <v>177158400</v>
      </c>
      <c r="H176" s="2">
        <f t="shared" si="2"/>
        <v>3.1795109031750979E-2</v>
      </c>
    </row>
    <row r="177" spans="1:8" x14ac:dyDescent="0.35">
      <c r="A177" s="1">
        <v>43720</v>
      </c>
      <c r="B177">
        <v>56.200001</v>
      </c>
      <c r="C177">
        <v>56.604999999999997</v>
      </c>
      <c r="D177">
        <v>55.715000000000003</v>
      </c>
      <c r="E177">
        <v>55.772499000000003</v>
      </c>
      <c r="F177">
        <v>54.475512999999999</v>
      </c>
      <c r="G177">
        <v>128906800</v>
      </c>
      <c r="H177" s="2">
        <f t="shared" si="2"/>
        <v>-2.2362360076253474E-3</v>
      </c>
    </row>
    <row r="178" spans="1:8" x14ac:dyDescent="0.35">
      <c r="A178" s="1">
        <v>43721</v>
      </c>
      <c r="B178">
        <v>55</v>
      </c>
      <c r="C178">
        <v>55.197498000000003</v>
      </c>
      <c r="D178">
        <v>54.255001</v>
      </c>
      <c r="E178">
        <v>54.6875</v>
      </c>
      <c r="F178">
        <v>53.415751999999998</v>
      </c>
      <c r="G178">
        <v>159053200</v>
      </c>
      <c r="H178" s="2">
        <f t="shared" si="2"/>
        <v>-1.9454014423847199E-2</v>
      </c>
    </row>
    <row r="179" spans="1:8" x14ac:dyDescent="0.35">
      <c r="A179" s="1">
        <v>43724</v>
      </c>
      <c r="B179">
        <v>54.432499</v>
      </c>
      <c r="C179">
        <v>55.032501000000003</v>
      </c>
      <c r="D179">
        <v>54.389999000000003</v>
      </c>
      <c r="E179">
        <v>54.974997999999999</v>
      </c>
      <c r="F179">
        <v>53.696567999999999</v>
      </c>
      <c r="G179">
        <v>84632400</v>
      </c>
      <c r="H179" s="2">
        <f t="shared" si="2"/>
        <v>5.2571062857142969E-3</v>
      </c>
    </row>
    <row r="180" spans="1:8" x14ac:dyDescent="0.35">
      <c r="A180" s="1">
        <v>43725</v>
      </c>
      <c r="B180">
        <v>54.990001999999997</v>
      </c>
      <c r="C180">
        <v>55.205002</v>
      </c>
      <c r="D180">
        <v>54.779998999999997</v>
      </c>
      <c r="E180">
        <v>55.174999</v>
      </c>
      <c r="F180">
        <v>53.891911</v>
      </c>
      <c r="G180">
        <v>73274800</v>
      </c>
      <c r="H180" s="2">
        <f t="shared" si="2"/>
        <v>3.6380356030207839E-3</v>
      </c>
    </row>
    <row r="181" spans="1:8" x14ac:dyDescent="0.35">
      <c r="A181" s="1">
        <v>43726</v>
      </c>
      <c r="B181">
        <v>55.264999000000003</v>
      </c>
      <c r="C181">
        <v>55.712502000000001</v>
      </c>
      <c r="D181">
        <v>54.860000999999997</v>
      </c>
      <c r="E181">
        <v>55.692501</v>
      </c>
      <c r="F181">
        <v>54.397373000000002</v>
      </c>
      <c r="G181">
        <v>101360000</v>
      </c>
      <c r="H181" s="2">
        <f t="shared" si="2"/>
        <v>9.3792842660496145E-3</v>
      </c>
    </row>
    <row r="182" spans="1:8" x14ac:dyDescent="0.35">
      <c r="A182" s="1">
        <v>43727</v>
      </c>
      <c r="B182">
        <v>55.502499</v>
      </c>
      <c r="C182">
        <v>55.939999</v>
      </c>
      <c r="D182">
        <v>55.092498999999997</v>
      </c>
      <c r="E182">
        <v>55.240001999999997</v>
      </c>
      <c r="F182">
        <v>53.955399</v>
      </c>
      <c r="G182">
        <v>88242400</v>
      </c>
      <c r="H182" s="2">
        <f t="shared" si="2"/>
        <v>-8.1249538425290924E-3</v>
      </c>
    </row>
    <row r="183" spans="1:8" x14ac:dyDescent="0.35">
      <c r="A183" s="1">
        <v>43728</v>
      </c>
      <c r="B183">
        <v>55.345001000000003</v>
      </c>
      <c r="C183">
        <v>55.639999000000003</v>
      </c>
      <c r="D183">
        <v>54.3675</v>
      </c>
      <c r="E183">
        <v>54.432499</v>
      </c>
      <c r="F183">
        <v>53.166679000000002</v>
      </c>
      <c r="G183">
        <v>221652400</v>
      </c>
      <c r="H183" s="2">
        <f t="shared" si="2"/>
        <v>-1.4618084191959202E-2</v>
      </c>
    </row>
    <row r="184" spans="1:8" x14ac:dyDescent="0.35">
      <c r="A184" s="1">
        <v>43731</v>
      </c>
      <c r="B184">
        <v>54.737499</v>
      </c>
      <c r="C184">
        <v>54.959999000000003</v>
      </c>
      <c r="D184">
        <v>54.412497999999999</v>
      </c>
      <c r="E184">
        <v>54.68</v>
      </c>
      <c r="F184">
        <v>53.408420999999997</v>
      </c>
      <c r="G184">
        <v>76662000</v>
      </c>
      <c r="H184" s="2">
        <f t="shared" si="2"/>
        <v>4.5469343599309209E-3</v>
      </c>
    </row>
    <row r="185" spans="1:8" x14ac:dyDescent="0.35">
      <c r="A185" s="1">
        <v>43732</v>
      </c>
      <c r="B185">
        <v>55.2575</v>
      </c>
      <c r="C185">
        <v>55.622501</v>
      </c>
      <c r="D185">
        <v>54.297500999999997</v>
      </c>
      <c r="E185">
        <v>54.419998</v>
      </c>
      <c r="F185">
        <v>53.154465000000002</v>
      </c>
      <c r="G185">
        <v>124763200</v>
      </c>
      <c r="H185" s="2">
        <f t="shared" si="2"/>
        <v>-4.7549743964886426E-3</v>
      </c>
    </row>
    <row r="186" spans="1:8" x14ac:dyDescent="0.35">
      <c r="A186" s="1">
        <v>43733</v>
      </c>
      <c r="B186">
        <v>54.637501</v>
      </c>
      <c r="C186">
        <v>55.375</v>
      </c>
      <c r="D186">
        <v>54.284999999999997</v>
      </c>
      <c r="E186">
        <v>55.2575</v>
      </c>
      <c r="F186">
        <v>53.972492000000003</v>
      </c>
      <c r="G186">
        <v>87613600</v>
      </c>
      <c r="H186" s="2">
        <f t="shared" si="2"/>
        <v>1.5389599977567059E-2</v>
      </c>
    </row>
    <row r="187" spans="1:8" x14ac:dyDescent="0.35">
      <c r="A187" s="1">
        <v>43734</v>
      </c>
      <c r="B187">
        <v>55</v>
      </c>
      <c r="C187">
        <v>55.235000999999997</v>
      </c>
      <c r="D187">
        <v>54.707500000000003</v>
      </c>
      <c r="E187">
        <v>54.972499999999997</v>
      </c>
      <c r="F187">
        <v>53.694118000000003</v>
      </c>
      <c r="G187">
        <v>75334000</v>
      </c>
      <c r="H187" s="2">
        <f t="shared" si="2"/>
        <v>-5.1576709044022229E-3</v>
      </c>
    </row>
    <row r="188" spans="1:8" x14ac:dyDescent="0.35">
      <c r="A188" s="1">
        <v>43735</v>
      </c>
      <c r="B188">
        <v>55.134998000000003</v>
      </c>
      <c r="C188">
        <v>55.240001999999997</v>
      </c>
      <c r="D188">
        <v>54.32</v>
      </c>
      <c r="E188">
        <v>54.705002</v>
      </c>
      <c r="F188">
        <v>53.432834999999997</v>
      </c>
      <c r="G188">
        <v>101408000</v>
      </c>
      <c r="H188" s="2">
        <f t="shared" si="2"/>
        <v>-4.8660330165082311E-3</v>
      </c>
    </row>
    <row r="189" spans="1:8" x14ac:dyDescent="0.35">
      <c r="A189" s="1">
        <v>43738</v>
      </c>
      <c r="B189">
        <v>55.224997999999999</v>
      </c>
      <c r="C189">
        <v>56.145000000000003</v>
      </c>
      <c r="D189">
        <v>55.197498000000003</v>
      </c>
      <c r="E189">
        <v>55.9925</v>
      </c>
      <c r="F189">
        <v>54.690398999999999</v>
      </c>
      <c r="G189">
        <v>103909600</v>
      </c>
      <c r="H189" s="2">
        <f t="shared" si="2"/>
        <v>2.3535288418415456E-2</v>
      </c>
    </row>
    <row r="190" spans="1:8" x14ac:dyDescent="0.35">
      <c r="A190" s="1">
        <v>43739</v>
      </c>
      <c r="B190">
        <v>56.267502</v>
      </c>
      <c r="C190">
        <v>57.055</v>
      </c>
      <c r="D190">
        <v>56.049999</v>
      </c>
      <c r="E190">
        <v>56.147499000000003</v>
      </c>
      <c r="F190">
        <v>54.841797</v>
      </c>
      <c r="G190">
        <v>139223200</v>
      </c>
      <c r="H190" s="2">
        <f t="shared" si="2"/>
        <v>2.7682100281287703E-3</v>
      </c>
    </row>
    <row r="191" spans="1:8" x14ac:dyDescent="0.35">
      <c r="A191" s="1">
        <v>43740</v>
      </c>
      <c r="B191">
        <v>55.764999000000003</v>
      </c>
      <c r="C191">
        <v>55.895000000000003</v>
      </c>
      <c r="D191">
        <v>54.482498</v>
      </c>
      <c r="E191">
        <v>54.740001999999997</v>
      </c>
      <c r="F191">
        <v>53.467025999999997</v>
      </c>
      <c r="G191">
        <v>138449200</v>
      </c>
      <c r="H191" s="2">
        <f t="shared" si="2"/>
        <v>-2.506784852518551E-2</v>
      </c>
    </row>
    <row r="192" spans="1:8" x14ac:dyDescent="0.35">
      <c r="A192" s="1">
        <v>43741</v>
      </c>
      <c r="B192">
        <v>54.607498</v>
      </c>
      <c r="C192">
        <v>55.240001999999997</v>
      </c>
      <c r="D192">
        <v>53.782501000000003</v>
      </c>
      <c r="E192">
        <v>55.205002</v>
      </c>
      <c r="F192">
        <v>53.921219000000001</v>
      </c>
      <c r="G192">
        <v>114426000</v>
      </c>
      <c r="H192" s="2">
        <f t="shared" si="2"/>
        <v>8.49470191835211E-3</v>
      </c>
    </row>
    <row r="193" spans="1:8" x14ac:dyDescent="0.35">
      <c r="A193" s="1">
        <v>43742</v>
      </c>
      <c r="B193">
        <v>56.41</v>
      </c>
      <c r="C193">
        <v>56.872501</v>
      </c>
      <c r="D193">
        <v>55.972499999999997</v>
      </c>
      <c r="E193">
        <v>56.752499</v>
      </c>
      <c r="F193">
        <v>55.432727999999997</v>
      </c>
      <c r="G193">
        <v>138478800</v>
      </c>
      <c r="H193" s="2">
        <f t="shared" si="2"/>
        <v>2.8031825811726252E-2</v>
      </c>
    </row>
    <row r="194" spans="1:8" x14ac:dyDescent="0.35">
      <c r="A194" s="1">
        <v>43745</v>
      </c>
      <c r="B194">
        <v>56.567501</v>
      </c>
      <c r="C194">
        <v>57.482498</v>
      </c>
      <c r="D194">
        <v>56.459999000000003</v>
      </c>
      <c r="E194">
        <v>56.764999000000003</v>
      </c>
      <c r="F194">
        <v>55.444930999999997</v>
      </c>
      <c r="G194">
        <v>122306000</v>
      </c>
      <c r="H194" s="2">
        <f t="shared" si="2"/>
        <v>2.2025461821528758E-4</v>
      </c>
    </row>
    <row r="195" spans="1:8" x14ac:dyDescent="0.35">
      <c r="A195" s="1">
        <v>43746</v>
      </c>
      <c r="B195">
        <v>56.455002</v>
      </c>
      <c r="C195">
        <v>57.014999000000003</v>
      </c>
      <c r="D195">
        <v>56.082500000000003</v>
      </c>
      <c r="E195">
        <v>56.099997999999999</v>
      </c>
      <c r="F195">
        <v>54.795391000000002</v>
      </c>
      <c r="G195">
        <v>111820000</v>
      </c>
      <c r="H195" s="2">
        <f t="shared" si="2"/>
        <v>-1.1714983030300163E-2</v>
      </c>
    </row>
    <row r="196" spans="1:8" x14ac:dyDescent="0.35">
      <c r="A196" s="1">
        <v>43747</v>
      </c>
      <c r="B196">
        <v>56.7575</v>
      </c>
      <c r="C196">
        <v>56.947498000000003</v>
      </c>
      <c r="D196">
        <v>56.41</v>
      </c>
      <c r="E196">
        <v>56.7575</v>
      </c>
      <c r="F196">
        <v>55.437614000000004</v>
      </c>
      <c r="G196">
        <v>74770400</v>
      </c>
      <c r="H196" s="2">
        <f t="shared" ref="H196:H259" si="3">E196/E195-1</f>
        <v>1.1720178670951098E-2</v>
      </c>
    </row>
    <row r="197" spans="1:8" x14ac:dyDescent="0.35">
      <c r="A197" s="1">
        <v>43748</v>
      </c>
      <c r="B197">
        <v>56.982498</v>
      </c>
      <c r="C197">
        <v>57.610000999999997</v>
      </c>
      <c r="D197">
        <v>56.825001</v>
      </c>
      <c r="E197">
        <v>57.522499000000003</v>
      </c>
      <c r="F197">
        <v>56.184818</v>
      </c>
      <c r="G197">
        <v>113013600</v>
      </c>
      <c r="H197" s="2">
        <f t="shared" si="3"/>
        <v>1.3478377306963996E-2</v>
      </c>
    </row>
    <row r="198" spans="1:8" x14ac:dyDescent="0.35">
      <c r="A198" s="1">
        <v>43749</v>
      </c>
      <c r="B198">
        <v>58.237499</v>
      </c>
      <c r="C198">
        <v>59.41</v>
      </c>
      <c r="D198">
        <v>58.077499000000003</v>
      </c>
      <c r="E198">
        <v>59.052501999999997</v>
      </c>
      <c r="F198">
        <v>57.679245000000002</v>
      </c>
      <c r="G198">
        <v>166795600</v>
      </c>
      <c r="H198" s="2">
        <f t="shared" si="3"/>
        <v>2.6598340242484753E-2</v>
      </c>
    </row>
    <row r="199" spans="1:8" x14ac:dyDescent="0.35">
      <c r="A199" s="1">
        <v>43752</v>
      </c>
      <c r="B199">
        <v>58.724997999999999</v>
      </c>
      <c r="C199">
        <v>59.532501000000003</v>
      </c>
      <c r="D199">
        <v>58.667499999999997</v>
      </c>
      <c r="E199">
        <v>58.967498999999997</v>
      </c>
      <c r="F199">
        <v>57.596214000000003</v>
      </c>
      <c r="G199">
        <v>96427600</v>
      </c>
      <c r="H199" s="2">
        <f t="shared" si="3"/>
        <v>-1.4394479001076377E-3</v>
      </c>
    </row>
    <row r="200" spans="1:8" x14ac:dyDescent="0.35">
      <c r="A200" s="1">
        <v>43753</v>
      </c>
      <c r="B200">
        <v>59.097499999999997</v>
      </c>
      <c r="C200">
        <v>59.412497999999999</v>
      </c>
      <c r="D200">
        <v>58.720001000000003</v>
      </c>
      <c r="E200">
        <v>58.830002</v>
      </c>
      <c r="F200">
        <v>57.461917999999997</v>
      </c>
      <c r="G200">
        <v>87360000</v>
      </c>
      <c r="H200" s="2">
        <f t="shared" si="3"/>
        <v>-2.3317421008477446E-3</v>
      </c>
    </row>
    <row r="201" spans="1:8" x14ac:dyDescent="0.35">
      <c r="A201" s="1">
        <v>43754</v>
      </c>
      <c r="B201">
        <v>58.342498999999997</v>
      </c>
      <c r="C201">
        <v>58.810001</v>
      </c>
      <c r="D201">
        <v>58.299999</v>
      </c>
      <c r="E201">
        <v>58.592498999999997</v>
      </c>
      <c r="F201">
        <v>57.229939000000002</v>
      </c>
      <c r="G201">
        <v>73903200</v>
      </c>
      <c r="H201" s="2">
        <f t="shared" si="3"/>
        <v>-4.0371067809925609E-3</v>
      </c>
    </row>
    <row r="202" spans="1:8" x14ac:dyDescent="0.35">
      <c r="A202" s="1">
        <v>43755</v>
      </c>
      <c r="B202">
        <v>58.772499000000003</v>
      </c>
      <c r="C202">
        <v>59.037497999999999</v>
      </c>
      <c r="D202">
        <v>58.380001</v>
      </c>
      <c r="E202">
        <v>58.82</v>
      </c>
      <c r="F202">
        <v>57.452140999999997</v>
      </c>
      <c r="G202">
        <v>67585200</v>
      </c>
      <c r="H202" s="2">
        <f t="shared" si="3"/>
        <v>3.8827666319540821E-3</v>
      </c>
    </row>
    <row r="203" spans="1:8" x14ac:dyDescent="0.35">
      <c r="A203" s="1">
        <v>43756</v>
      </c>
      <c r="B203">
        <v>58.647499000000003</v>
      </c>
      <c r="C203">
        <v>59.395000000000003</v>
      </c>
      <c r="D203">
        <v>58.572498000000003</v>
      </c>
      <c r="E203">
        <v>59.102500999999997</v>
      </c>
      <c r="F203">
        <v>57.728076999999999</v>
      </c>
      <c r="G203">
        <v>97433600</v>
      </c>
      <c r="H203" s="2">
        <f t="shared" si="3"/>
        <v>4.8028051683099982E-3</v>
      </c>
    </row>
    <row r="204" spans="1:8" x14ac:dyDescent="0.35">
      <c r="A204" s="1">
        <v>43759</v>
      </c>
      <c r="B204">
        <v>59.380001</v>
      </c>
      <c r="C204">
        <v>60.247501</v>
      </c>
      <c r="D204">
        <v>59.330002</v>
      </c>
      <c r="E204">
        <v>60.127499</v>
      </c>
      <c r="F204">
        <v>58.729236999999998</v>
      </c>
      <c r="G204">
        <v>87247200</v>
      </c>
      <c r="H204" s="2">
        <f t="shared" si="3"/>
        <v>1.7342717865695745E-2</v>
      </c>
    </row>
    <row r="205" spans="1:8" x14ac:dyDescent="0.35">
      <c r="A205" s="1">
        <v>43760</v>
      </c>
      <c r="B205">
        <v>60.290000999999997</v>
      </c>
      <c r="C205">
        <v>60.549999</v>
      </c>
      <c r="D205">
        <v>59.904998999999997</v>
      </c>
      <c r="E205">
        <v>59.990001999999997</v>
      </c>
      <c r="F205">
        <v>58.594935999999997</v>
      </c>
      <c r="G205">
        <v>82293600</v>
      </c>
      <c r="H205" s="2">
        <f t="shared" si="3"/>
        <v>-2.2867573454202761E-3</v>
      </c>
    </row>
    <row r="206" spans="1:8" x14ac:dyDescent="0.35">
      <c r="A206" s="1">
        <v>43761</v>
      </c>
      <c r="B206">
        <v>60.525002000000001</v>
      </c>
      <c r="C206">
        <v>60.810001</v>
      </c>
      <c r="D206">
        <v>60.305</v>
      </c>
      <c r="E206">
        <v>60.794998</v>
      </c>
      <c r="F206">
        <v>59.381214</v>
      </c>
      <c r="G206">
        <v>75828800</v>
      </c>
      <c r="H206" s="2">
        <f t="shared" si="3"/>
        <v>1.3418836025376413E-2</v>
      </c>
    </row>
    <row r="207" spans="1:8" x14ac:dyDescent="0.35">
      <c r="A207" s="1">
        <v>43762</v>
      </c>
      <c r="B207">
        <v>61.127499</v>
      </c>
      <c r="C207">
        <v>61.200001</v>
      </c>
      <c r="D207">
        <v>60.452499000000003</v>
      </c>
      <c r="E207">
        <v>60.895000000000003</v>
      </c>
      <c r="F207">
        <v>59.478889000000002</v>
      </c>
      <c r="G207">
        <v>69275200</v>
      </c>
      <c r="H207" s="2">
        <f t="shared" si="3"/>
        <v>1.6449050627487249E-3</v>
      </c>
    </row>
    <row r="208" spans="1:8" x14ac:dyDescent="0.35">
      <c r="A208" s="1">
        <v>43763</v>
      </c>
      <c r="B208">
        <v>60.790000999999997</v>
      </c>
      <c r="C208">
        <v>61.682499</v>
      </c>
      <c r="D208">
        <v>60.720001000000003</v>
      </c>
      <c r="E208">
        <v>61.645000000000003</v>
      </c>
      <c r="F208">
        <v>60.211452000000001</v>
      </c>
      <c r="G208">
        <v>73477200</v>
      </c>
      <c r="H208" s="2">
        <f t="shared" si="3"/>
        <v>1.2316282124969158E-2</v>
      </c>
    </row>
    <row r="209" spans="1:8" x14ac:dyDescent="0.35">
      <c r="A209" s="1">
        <v>43766</v>
      </c>
      <c r="B209">
        <v>61.854999999999997</v>
      </c>
      <c r="C209">
        <v>62.3125</v>
      </c>
      <c r="D209">
        <v>61.68</v>
      </c>
      <c r="E209">
        <v>62.262501</v>
      </c>
      <c r="F209">
        <v>60.814597999999997</v>
      </c>
      <c r="G209">
        <v>96572800</v>
      </c>
      <c r="H209" s="2">
        <f t="shared" si="3"/>
        <v>1.0017049233514541E-2</v>
      </c>
    </row>
    <row r="210" spans="1:8" x14ac:dyDescent="0.35">
      <c r="A210" s="1">
        <v>43767</v>
      </c>
      <c r="B210">
        <v>62.2425</v>
      </c>
      <c r="C210">
        <v>62.4375</v>
      </c>
      <c r="D210">
        <v>60.642502</v>
      </c>
      <c r="E210">
        <v>60.822498000000003</v>
      </c>
      <c r="F210">
        <v>59.408070000000002</v>
      </c>
      <c r="G210">
        <v>142839600</v>
      </c>
      <c r="H210" s="2">
        <f t="shared" si="3"/>
        <v>-2.3127933778310572E-2</v>
      </c>
    </row>
    <row r="211" spans="1:8" x14ac:dyDescent="0.35">
      <c r="A211" s="1">
        <v>43768</v>
      </c>
      <c r="B211">
        <v>61.189999</v>
      </c>
      <c r="C211">
        <v>61.325001</v>
      </c>
      <c r="D211">
        <v>60.302501999999997</v>
      </c>
      <c r="E211">
        <v>60.814999</v>
      </c>
      <c r="F211">
        <v>59.400753000000002</v>
      </c>
      <c r="G211">
        <v>124522000</v>
      </c>
      <c r="H211" s="2">
        <f t="shared" si="3"/>
        <v>-1.2329319325232735E-4</v>
      </c>
    </row>
    <row r="212" spans="1:8" x14ac:dyDescent="0.35">
      <c r="A212" s="1">
        <v>43769</v>
      </c>
      <c r="B212">
        <v>61.810001</v>
      </c>
      <c r="C212">
        <v>62.292499999999997</v>
      </c>
      <c r="D212">
        <v>59.314999</v>
      </c>
      <c r="E212">
        <v>62.189999</v>
      </c>
      <c r="F212">
        <v>60.743774000000002</v>
      </c>
      <c r="G212">
        <v>139162000</v>
      </c>
      <c r="H212" s="2">
        <f t="shared" si="3"/>
        <v>2.2609553935863724E-2</v>
      </c>
    </row>
    <row r="213" spans="1:8" x14ac:dyDescent="0.35">
      <c r="A213" s="1">
        <v>43770</v>
      </c>
      <c r="B213">
        <v>62.384998000000003</v>
      </c>
      <c r="C213">
        <v>63.982498</v>
      </c>
      <c r="D213">
        <v>62.290000999999997</v>
      </c>
      <c r="E213">
        <v>63.955002</v>
      </c>
      <c r="F213">
        <v>62.467731000000001</v>
      </c>
      <c r="G213">
        <v>151125200</v>
      </c>
      <c r="H213" s="2">
        <f t="shared" si="3"/>
        <v>2.8380817307940509E-2</v>
      </c>
    </row>
    <row r="214" spans="1:8" x14ac:dyDescent="0.35">
      <c r="A214" s="1">
        <v>43773</v>
      </c>
      <c r="B214">
        <v>64.332497000000004</v>
      </c>
      <c r="C214">
        <v>64.462502000000001</v>
      </c>
      <c r="D214">
        <v>63.845001000000003</v>
      </c>
      <c r="E214">
        <v>64.375</v>
      </c>
      <c r="F214">
        <v>62.877960000000002</v>
      </c>
      <c r="G214">
        <v>103272000</v>
      </c>
      <c r="H214" s="2">
        <f t="shared" si="3"/>
        <v>6.5670860271414E-3</v>
      </c>
    </row>
    <row r="215" spans="1:8" x14ac:dyDescent="0.35">
      <c r="A215" s="1">
        <v>43774</v>
      </c>
      <c r="B215">
        <v>64.262496999999996</v>
      </c>
      <c r="C215">
        <v>64.547500999999997</v>
      </c>
      <c r="D215">
        <v>64.080001999999993</v>
      </c>
      <c r="E215">
        <v>64.282500999999996</v>
      </c>
      <c r="F215">
        <v>62.787621000000001</v>
      </c>
      <c r="G215">
        <v>79897600</v>
      </c>
      <c r="H215" s="2">
        <f t="shared" si="3"/>
        <v>-1.4368776699029695E-3</v>
      </c>
    </row>
    <row r="216" spans="1:8" x14ac:dyDescent="0.35">
      <c r="A216" s="1">
        <v>43775</v>
      </c>
      <c r="B216">
        <v>64.192497000000003</v>
      </c>
      <c r="C216">
        <v>64.372497999999993</v>
      </c>
      <c r="D216">
        <v>63.842498999999997</v>
      </c>
      <c r="E216">
        <v>64.309997999999993</v>
      </c>
      <c r="F216">
        <v>62.814472000000002</v>
      </c>
      <c r="G216">
        <v>75864400</v>
      </c>
      <c r="H216" s="2">
        <f t="shared" si="3"/>
        <v>4.2775249208171218E-4</v>
      </c>
    </row>
    <row r="217" spans="1:8" x14ac:dyDescent="0.35">
      <c r="A217" s="1">
        <v>43776</v>
      </c>
      <c r="B217">
        <v>64.684997999999993</v>
      </c>
      <c r="C217">
        <v>65.087502000000001</v>
      </c>
      <c r="D217">
        <v>64.527495999999999</v>
      </c>
      <c r="E217">
        <v>64.857498000000007</v>
      </c>
      <c r="F217">
        <v>63.539436000000002</v>
      </c>
      <c r="G217">
        <v>94940400</v>
      </c>
      <c r="H217" s="2">
        <f t="shared" si="3"/>
        <v>8.5134507390283165E-3</v>
      </c>
    </row>
    <row r="218" spans="1:8" x14ac:dyDescent="0.35">
      <c r="A218" s="1">
        <v>43777</v>
      </c>
      <c r="B218">
        <v>64.672500999999997</v>
      </c>
      <c r="C218">
        <v>65.110000999999997</v>
      </c>
      <c r="D218">
        <v>64.212502000000001</v>
      </c>
      <c r="E218">
        <v>65.035004000000001</v>
      </c>
      <c r="F218">
        <v>63.713344999999997</v>
      </c>
      <c r="G218">
        <v>69986400</v>
      </c>
      <c r="H218" s="2">
        <f t="shared" si="3"/>
        <v>2.7368616655547573E-3</v>
      </c>
    </row>
    <row r="219" spans="1:8" x14ac:dyDescent="0.35">
      <c r="A219" s="1">
        <v>43780</v>
      </c>
      <c r="B219">
        <v>64.574996999999996</v>
      </c>
      <c r="C219">
        <v>65.617500000000007</v>
      </c>
      <c r="D219">
        <v>64.569999999999993</v>
      </c>
      <c r="E219">
        <v>65.550003000000004</v>
      </c>
      <c r="F219">
        <v>64.217879999999994</v>
      </c>
      <c r="G219">
        <v>81821200</v>
      </c>
      <c r="H219" s="2">
        <f t="shared" si="3"/>
        <v>7.9187970834906363E-3</v>
      </c>
    </row>
    <row r="220" spans="1:8" x14ac:dyDescent="0.35">
      <c r="A220" s="1">
        <v>43781</v>
      </c>
      <c r="B220">
        <v>65.387496999999996</v>
      </c>
      <c r="C220">
        <v>65.697502</v>
      </c>
      <c r="D220">
        <v>65.230002999999996</v>
      </c>
      <c r="E220">
        <v>65.489998</v>
      </c>
      <c r="F220">
        <v>64.159081</v>
      </c>
      <c r="G220">
        <v>87388800</v>
      </c>
      <c r="H220" s="2">
        <f t="shared" si="3"/>
        <v>-9.1540804353595906E-4</v>
      </c>
    </row>
    <row r="221" spans="1:8" x14ac:dyDescent="0.35">
      <c r="A221" s="1">
        <v>43782</v>
      </c>
      <c r="B221">
        <v>65.282500999999996</v>
      </c>
      <c r="C221">
        <v>66.194999999999993</v>
      </c>
      <c r="D221">
        <v>65.267501999999993</v>
      </c>
      <c r="E221">
        <v>66.117500000000007</v>
      </c>
      <c r="F221">
        <v>64.773826999999997</v>
      </c>
      <c r="G221">
        <v>102734400</v>
      </c>
      <c r="H221" s="2">
        <f t="shared" si="3"/>
        <v>9.5816463454465595E-3</v>
      </c>
    </row>
    <row r="222" spans="1:8" x14ac:dyDescent="0.35">
      <c r="A222" s="1">
        <v>43783</v>
      </c>
      <c r="B222">
        <v>65.9375</v>
      </c>
      <c r="C222">
        <v>66.220000999999996</v>
      </c>
      <c r="D222">
        <v>65.525002000000001</v>
      </c>
      <c r="E222">
        <v>65.660004000000001</v>
      </c>
      <c r="F222">
        <v>64.325637999999998</v>
      </c>
      <c r="G222">
        <v>89182800</v>
      </c>
      <c r="H222" s="2">
        <f t="shared" si="3"/>
        <v>-6.9194388777555904E-3</v>
      </c>
    </row>
    <row r="223" spans="1:8" x14ac:dyDescent="0.35">
      <c r="A223" s="1">
        <v>43784</v>
      </c>
      <c r="B223">
        <v>65.919998000000007</v>
      </c>
      <c r="C223">
        <v>66.444999999999993</v>
      </c>
      <c r="D223">
        <v>65.752502000000007</v>
      </c>
      <c r="E223">
        <v>66.440002000000007</v>
      </c>
      <c r="F223">
        <v>65.089775000000003</v>
      </c>
      <c r="G223">
        <v>100206400</v>
      </c>
      <c r="H223" s="2">
        <f t="shared" si="3"/>
        <v>1.1879347433484844E-2</v>
      </c>
    </row>
    <row r="224" spans="1:8" x14ac:dyDescent="0.35">
      <c r="A224" s="1">
        <v>43787</v>
      </c>
      <c r="B224">
        <v>66.449996999999996</v>
      </c>
      <c r="C224">
        <v>66.857498000000007</v>
      </c>
      <c r="D224">
        <v>66.057502999999997</v>
      </c>
      <c r="E224">
        <v>66.775002000000001</v>
      </c>
      <c r="F224">
        <v>65.417961000000005</v>
      </c>
      <c r="G224">
        <v>86703200</v>
      </c>
      <c r="H224" s="2">
        <f t="shared" si="3"/>
        <v>5.0421431353959711E-3</v>
      </c>
    </row>
    <row r="225" spans="1:8" x14ac:dyDescent="0.35">
      <c r="A225" s="1">
        <v>43788</v>
      </c>
      <c r="B225">
        <v>66.974997999999999</v>
      </c>
      <c r="C225">
        <v>67</v>
      </c>
      <c r="D225">
        <v>66.347504000000001</v>
      </c>
      <c r="E225">
        <v>66.572502</v>
      </c>
      <c r="F225">
        <v>65.219588999999999</v>
      </c>
      <c r="G225">
        <v>76167200</v>
      </c>
      <c r="H225" s="2">
        <f t="shared" si="3"/>
        <v>-3.0325719795560868E-3</v>
      </c>
    </row>
    <row r="226" spans="1:8" x14ac:dyDescent="0.35">
      <c r="A226" s="1">
        <v>43789</v>
      </c>
      <c r="B226">
        <v>66.385002</v>
      </c>
      <c r="C226">
        <v>66.519997000000004</v>
      </c>
      <c r="D226">
        <v>65.099997999999999</v>
      </c>
      <c r="E226">
        <v>65.797500999999997</v>
      </c>
      <c r="F226">
        <v>64.460327000000007</v>
      </c>
      <c r="G226">
        <v>106234400</v>
      </c>
      <c r="H226" s="2">
        <f t="shared" si="3"/>
        <v>-1.1641458210478572E-2</v>
      </c>
    </row>
    <row r="227" spans="1:8" x14ac:dyDescent="0.35">
      <c r="A227" s="1">
        <v>43790</v>
      </c>
      <c r="B227">
        <v>65.922500999999997</v>
      </c>
      <c r="C227">
        <v>66.002502000000007</v>
      </c>
      <c r="D227">
        <v>65.294998000000007</v>
      </c>
      <c r="E227">
        <v>65.502502000000007</v>
      </c>
      <c r="F227">
        <v>64.171333000000004</v>
      </c>
      <c r="G227">
        <v>121395200</v>
      </c>
      <c r="H227" s="2">
        <f t="shared" si="3"/>
        <v>-4.4834377524457514E-3</v>
      </c>
    </row>
    <row r="228" spans="1:8" x14ac:dyDescent="0.35">
      <c r="A228" s="1">
        <v>43791</v>
      </c>
      <c r="B228">
        <v>65.647498999999996</v>
      </c>
      <c r="C228">
        <v>65.794998000000007</v>
      </c>
      <c r="D228">
        <v>65.209998999999996</v>
      </c>
      <c r="E228">
        <v>65.444999999999993</v>
      </c>
      <c r="F228">
        <v>64.114990000000006</v>
      </c>
      <c r="G228">
        <v>65325200</v>
      </c>
      <c r="H228" s="2">
        <f t="shared" si="3"/>
        <v>-8.7785959687480819E-4</v>
      </c>
    </row>
    <row r="229" spans="1:8" x14ac:dyDescent="0.35">
      <c r="A229" s="1">
        <v>43794</v>
      </c>
      <c r="B229">
        <v>65.677498</v>
      </c>
      <c r="C229">
        <v>66.610000999999997</v>
      </c>
      <c r="D229">
        <v>65.629997000000003</v>
      </c>
      <c r="E229">
        <v>66.592499000000004</v>
      </c>
      <c r="F229">
        <v>65.239165999999997</v>
      </c>
      <c r="G229">
        <v>84020400</v>
      </c>
      <c r="H229" s="2">
        <f t="shared" si="3"/>
        <v>1.7533791733516768E-2</v>
      </c>
    </row>
    <row r="230" spans="1:8" x14ac:dyDescent="0.35">
      <c r="A230" s="1">
        <v>43795</v>
      </c>
      <c r="B230">
        <v>66.735000999999997</v>
      </c>
      <c r="C230">
        <v>66.790001000000004</v>
      </c>
      <c r="D230">
        <v>65.625</v>
      </c>
      <c r="E230">
        <v>66.072502</v>
      </c>
      <c r="F230">
        <v>64.729736000000003</v>
      </c>
      <c r="G230">
        <v>105207600</v>
      </c>
      <c r="H230" s="2">
        <f t="shared" si="3"/>
        <v>-7.8086422316123727E-3</v>
      </c>
    </row>
    <row r="231" spans="1:8" x14ac:dyDescent="0.35">
      <c r="A231" s="1">
        <v>43796</v>
      </c>
      <c r="B231">
        <v>66.394997000000004</v>
      </c>
      <c r="C231">
        <v>66.995002999999997</v>
      </c>
      <c r="D231">
        <v>66.327499000000003</v>
      </c>
      <c r="E231">
        <v>66.959998999999996</v>
      </c>
      <c r="F231">
        <v>65.599197000000004</v>
      </c>
      <c r="G231">
        <v>65235600</v>
      </c>
      <c r="H231" s="2">
        <f t="shared" si="3"/>
        <v>1.3432168801478017E-2</v>
      </c>
    </row>
    <row r="232" spans="1:8" x14ac:dyDescent="0.35">
      <c r="A232" s="1">
        <v>43798</v>
      </c>
      <c r="B232">
        <v>66.650002000000001</v>
      </c>
      <c r="C232">
        <v>67</v>
      </c>
      <c r="D232">
        <v>66.474997999999999</v>
      </c>
      <c r="E232">
        <v>66.8125</v>
      </c>
      <c r="F232">
        <v>65.454712000000001</v>
      </c>
      <c r="G232">
        <v>46617600</v>
      </c>
      <c r="H232" s="2">
        <f t="shared" si="3"/>
        <v>-2.2027927449640439E-3</v>
      </c>
    </row>
    <row r="233" spans="1:8" x14ac:dyDescent="0.35">
      <c r="A233" s="1">
        <v>43801</v>
      </c>
      <c r="B233">
        <v>66.817497000000003</v>
      </c>
      <c r="C233">
        <v>67.0625</v>
      </c>
      <c r="D233">
        <v>65.862503000000004</v>
      </c>
      <c r="E233">
        <v>66.040001000000004</v>
      </c>
      <c r="F233">
        <v>64.697913999999997</v>
      </c>
      <c r="G233">
        <v>94487200</v>
      </c>
      <c r="H233" s="2">
        <f t="shared" si="3"/>
        <v>-1.1562192703461149E-2</v>
      </c>
    </row>
    <row r="234" spans="1:8" x14ac:dyDescent="0.35">
      <c r="A234" s="1">
        <v>43802</v>
      </c>
      <c r="B234">
        <v>64.577499000000003</v>
      </c>
      <c r="C234">
        <v>64.882499999999993</v>
      </c>
      <c r="D234">
        <v>64.072502</v>
      </c>
      <c r="E234">
        <v>64.862503000000004</v>
      </c>
      <c r="F234">
        <v>63.544342</v>
      </c>
      <c r="G234">
        <v>114430400</v>
      </c>
      <c r="H234" s="2">
        <f t="shared" si="3"/>
        <v>-1.7830072413233311E-2</v>
      </c>
    </row>
    <row r="235" spans="1:8" x14ac:dyDescent="0.35">
      <c r="A235" s="1">
        <v>43803</v>
      </c>
      <c r="B235">
        <v>65.267501999999993</v>
      </c>
      <c r="C235">
        <v>65.827499000000003</v>
      </c>
      <c r="D235">
        <v>65.169998000000007</v>
      </c>
      <c r="E235">
        <v>65.434997999999993</v>
      </c>
      <c r="F235">
        <v>64.105193999999997</v>
      </c>
      <c r="G235">
        <v>67181600</v>
      </c>
      <c r="H235" s="2">
        <f t="shared" si="3"/>
        <v>8.8262859667933569E-3</v>
      </c>
    </row>
    <row r="236" spans="1:8" x14ac:dyDescent="0.35">
      <c r="A236" s="1">
        <v>43804</v>
      </c>
      <c r="B236">
        <v>65.947502</v>
      </c>
      <c r="C236">
        <v>66.472504000000001</v>
      </c>
      <c r="D236">
        <v>65.682502999999997</v>
      </c>
      <c r="E236">
        <v>66.394997000000004</v>
      </c>
      <c r="F236">
        <v>65.045685000000006</v>
      </c>
      <c r="G236">
        <v>74424400</v>
      </c>
      <c r="H236" s="2">
        <f t="shared" si="3"/>
        <v>1.4671032770567471E-2</v>
      </c>
    </row>
    <row r="237" spans="1:8" x14ac:dyDescent="0.35">
      <c r="A237" s="1">
        <v>43805</v>
      </c>
      <c r="B237">
        <v>66.870002999999997</v>
      </c>
      <c r="C237">
        <v>67.75</v>
      </c>
      <c r="D237">
        <v>66.824996999999996</v>
      </c>
      <c r="E237">
        <v>67.677498</v>
      </c>
      <c r="F237">
        <v>66.302124000000006</v>
      </c>
      <c r="G237">
        <v>106075600</v>
      </c>
      <c r="H237" s="2">
        <f t="shared" si="3"/>
        <v>1.931622950446088E-2</v>
      </c>
    </row>
    <row r="238" spans="1:8" x14ac:dyDescent="0.35">
      <c r="A238" s="1">
        <v>43808</v>
      </c>
      <c r="B238">
        <v>67.5</v>
      </c>
      <c r="C238">
        <v>67.699996999999996</v>
      </c>
      <c r="D238">
        <v>66.227501000000004</v>
      </c>
      <c r="E238">
        <v>66.730002999999996</v>
      </c>
      <c r="F238">
        <v>65.373894000000007</v>
      </c>
      <c r="G238">
        <v>128042400</v>
      </c>
      <c r="H238" s="2">
        <f t="shared" si="3"/>
        <v>-1.4000148173326399E-2</v>
      </c>
    </row>
    <row r="239" spans="1:8" x14ac:dyDescent="0.35">
      <c r="A239" s="1">
        <v>43809</v>
      </c>
      <c r="B239">
        <v>67.150002000000001</v>
      </c>
      <c r="C239">
        <v>67.517501999999993</v>
      </c>
      <c r="D239">
        <v>66.464995999999999</v>
      </c>
      <c r="E239">
        <v>67.120002999999997</v>
      </c>
      <c r="F239">
        <v>65.755966000000001</v>
      </c>
      <c r="G239">
        <v>90420400</v>
      </c>
      <c r="H239" s="2">
        <f t="shared" si="3"/>
        <v>5.8444475118635264E-3</v>
      </c>
    </row>
    <row r="240" spans="1:8" x14ac:dyDescent="0.35">
      <c r="A240" s="1">
        <v>43810</v>
      </c>
      <c r="B240">
        <v>67.202499000000003</v>
      </c>
      <c r="C240">
        <v>67.775002000000001</v>
      </c>
      <c r="D240">
        <v>67.125</v>
      </c>
      <c r="E240">
        <v>67.692497000000003</v>
      </c>
      <c r="F240">
        <v>66.316817999999998</v>
      </c>
      <c r="G240">
        <v>78756800</v>
      </c>
      <c r="H240" s="2">
        <f t="shared" si="3"/>
        <v>8.5294096306880451E-3</v>
      </c>
    </row>
    <row r="241" spans="1:8" x14ac:dyDescent="0.35">
      <c r="A241" s="1">
        <v>43811</v>
      </c>
      <c r="B241">
        <v>66.944999999999993</v>
      </c>
      <c r="C241">
        <v>68.139999000000003</v>
      </c>
      <c r="D241">
        <v>66.830001999999993</v>
      </c>
      <c r="E241">
        <v>67.864998</v>
      </c>
      <c r="F241">
        <v>66.485816999999997</v>
      </c>
      <c r="G241">
        <v>137310400</v>
      </c>
      <c r="H241" s="2">
        <f t="shared" si="3"/>
        <v>2.5483031007114132E-3</v>
      </c>
    </row>
    <row r="242" spans="1:8" x14ac:dyDescent="0.35">
      <c r="A242" s="1">
        <v>43812</v>
      </c>
      <c r="B242">
        <v>67.864998</v>
      </c>
      <c r="C242">
        <v>68.824996999999996</v>
      </c>
      <c r="D242">
        <v>67.732498000000007</v>
      </c>
      <c r="E242">
        <v>68.787497999999999</v>
      </c>
      <c r="F242">
        <v>67.389565000000005</v>
      </c>
      <c r="G242">
        <v>133587600</v>
      </c>
      <c r="H242" s="2">
        <f t="shared" si="3"/>
        <v>1.3593163297521915E-2</v>
      </c>
    </row>
    <row r="243" spans="1:8" x14ac:dyDescent="0.35">
      <c r="A243" s="1">
        <v>43815</v>
      </c>
      <c r="B243">
        <v>69.25</v>
      </c>
      <c r="C243">
        <v>70.197502</v>
      </c>
      <c r="D243">
        <v>69.245002999999997</v>
      </c>
      <c r="E243">
        <v>69.964995999999999</v>
      </c>
      <c r="F243">
        <v>68.543128999999993</v>
      </c>
      <c r="G243">
        <v>128186000</v>
      </c>
      <c r="H243" s="2">
        <f t="shared" si="3"/>
        <v>1.7117907094105878E-2</v>
      </c>
    </row>
    <row r="244" spans="1:8" x14ac:dyDescent="0.35">
      <c r="A244" s="1">
        <v>43816</v>
      </c>
      <c r="B244">
        <v>69.892501999999993</v>
      </c>
      <c r="C244">
        <v>70.442497000000003</v>
      </c>
      <c r="D244">
        <v>69.699996999999996</v>
      </c>
      <c r="E244">
        <v>70.102501000000004</v>
      </c>
      <c r="F244">
        <v>68.677856000000006</v>
      </c>
      <c r="G244">
        <v>114158400</v>
      </c>
      <c r="H244" s="2">
        <f t="shared" si="3"/>
        <v>1.9653399251249315E-3</v>
      </c>
    </row>
    <row r="245" spans="1:8" x14ac:dyDescent="0.35">
      <c r="A245" s="1">
        <v>43817</v>
      </c>
      <c r="B245">
        <v>69.949996999999996</v>
      </c>
      <c r="C245">
        <v>70.474997999999999</v>
      </c>
      <c r="D245">
        <v>69.779999000000004</v>
      </c>
      <c r="E245">
        <v>69.934997999999993</v>
      </c>
      <c r="F245">
        <v>68.513748000000007</v>
      </c>
      <c r="G245">
        <v>116028400</v>
      </c>
      <c r="H245" s="2">
        <f t="shared" si="3"/>
        <v>-2.3894011998232267E-3</v>
      </c>
    </row>
    <row r="246" spans="1:8" x14ac:dyDescent="0.35">
      <c r="A246" s="1">
        <v>43818</v>
      </c>
      <c r="B246">
        <v>69.875</v>
      </c>
      <c r="C246">
        <v>70.294998000000007</v>
      </c>
      <c r="D246">
        <v>69.737503000000004</v>
      </c>
      <c r="E246">
        <v>70.004997000000003</v>
      </c>
      <c r="F246">
        <v>68.582320999999993</v>
      </c>
      <c r="G246">
        <v>98369200</v>
      </c>
      <c r="H246" s="2">
        <f t="shared" si="3"/>
        <v>1.0009151641072744E-3</v>
      </c>
    </row>
    <row r="247" spans="1:8" x14ac:dyDescent="0.35">
      <c r="A247" s="1">
        <v>43819</v>
      </c>
      <c r="B247">
        <v>70.557502999999997</v>
      </c>
      <c r="C247">
        <v>70.662497999999999</v>
      </c>
      <c r="D247">
        <v>69.639999000000003</v>
      </c>
      <c r="E247">
        <v>69.860000999999997</v>
      </c>
      <c r="F247">
        <v>68.440276999999995</v>
      </c>
      <c r="G247">
        <v>275978000</v>
      </c>
      <c r="H247" s="2">
        <f t="shared" si="3"/>
        <v>-2.0712235727973205E-3</v>
      </c>
    </row>
    <row r="248" spans="1:8" x14ac:dyDescent="0.35">
      <c r="A248" s="1">
        <v>43822</v>
      </c>
      <c r="B248">
        <v>70.132499999999993</v>
      </c>
      <c r="C248">
        <v>71.0625</v>
      </c>
      <c r="D248">
        <v>70.092499000000004</v>
      </c>
      <c r="E248">
        <v>71</v>
      </c>
      <c r="F248">
        <v>69.557113999999999</v>
      </c>
      <c r="G248">
        <v>98572000</v>
      </c>
      <c r="H248" s="2">
        <f t="shared" si="3"/>
        <v>1.631833643976055E-2</v>
      </c>
    </row>
    <row r="249" spans="1:8" x14ac:dyDescent="0.35">
      <c r="A249" s="1">
        <v>43823</v>
      </c>
      <c r="B249">
        <v>71.172500999999997</v>
      </c>
      <c r="C249">
        <v>71.222504000000001</v>
      </c>
      <c r="D249">
        <v>70.730002999999996</v>
      </c>
      <c r="E249">
        <v>71.067497000000003</v>
      </c>
      <c r="F249">
        <v>69.623221999999998</v>
      </c>
      <c r="G249">
        <v>48478800</v>
      </c>
      <c r="H249" s="2">
        <f t="shared" si="3"/>
        <v>9.5066197183113488E-4</v>
      </c>
    </row>
    <row r="250" spans="1:8" x14ac:dyDescent="0.35">
      <c r="A250" s="1">
        <v>43825</v>
      </c>
      <c r="B250">
        <v>71.205001999999993</v>
      </c>
      <c r="C250">
        <v>72.495002999999997</v>
      </c>
      <c r="D250">
        <v>71.175003000000004</v>
      </c>
      <c r="E250">
        <v>72.477501000000004</v>
      </c>
      <c r="F250">
        <v>71.004570000000001</v>
      </c>
      <c r="G250">
        <v>93121200</v>
      </c>
      <c r="H250" s="2">
        <f t="shared" si="3"/>
        <v>1.984034980154159E-2</v>
      </c>
    </row>
    <row r="251" spans="1:8" x14ac:dyDescent="0.35">
      <c r="A251" s="1">
        <v>43826</v>
      </c>
      <c r="B251">
        <v>72.779999000000004</v>
      </c>
      <c r="C251">
        <v>73.492500000000007</v>
      </c>
      <c r="D251">
        <v>72.029999000000004</v>
      </c>
      <c r="E251">
        <v>72.449996999999996</v>
      </c>
      <c r="F251">
        <v>70.977622999999994</v>
      </c>
      <c r="G251">
        <v>146266000</v>
      </c>
      <c r="H251" s="2">
        <f t="shared" si="3"/>
        <v>-3.7948328268111453E-4</v>
      </c>
    </row>
    <row r="252" spans="1:8" x14ac:dyDescent="0.35">
      <c r="A252" s="1">
        <v>43829</v>
      </c>
      <c r="B252">
        <v>72.364998</v>
      </c>
      <c r="C252">
        <v>73.172500999999997</v>
      </c>
      <c r="D252">
        <v>71.305000000000007</v>
      </c>
      <c r="E252">
        <v>72.879997000000003</v>
      </c>
      <c r="F252">
        <v>71.398910999999998</v>
      </c>
      <c r="G252">
        <v>144114400</v>
      </c>
      <c r="H252" s="2">
        <f t="shared" si="3"/>
        <v>5.9351279200192675E-3</v>
      </c>
    </row>
    <row r="253" spans="1:8" x14ac:dyDescent="0.35">
      <c r="A253" s="1">
        <v>43830</v>
      </c>
      <c r="B253">
        <v>72.482498000000007</v>
      </c>
      <c r="C253">
        <v>73.419998000000007</v>
      </c>
      <c r="D253">
        <v>72.379997000000003</v>
      </c>
      <c r="E253">
        <v>73.412497999999999</v>
      </c>
      <c r="F253">
        <v>71.920569999999998</v>
      </c>
      <c r="G253">
        <v>100805600</v>
      </c>
      <c r="H253" s="2">
        <f t="shared" si="3"/>
        <v>7.3065453062517438E-3</v>
      </c>
    </row>
    <row r="254" spans="1:8" x14ac:dyDescent="0.35">
      <c r="A254" s="1">
        <v>43832</v>
      </c>
      <c r="B254">
        <v>74.059997999999993</v>
      </c>
      <c r="C254">
        <v>75.150002000000001</v>
      </c>
      <c r="D254">
        <v>73.797500999999997</v>
      </c>
      <c r="E254">
        <v>75.087502000000001</v>
      </c>
      <c r="F254">
        <v>73.561538999999996</v>
      </c>
      <c r="G254">
        <v>135480400</v>
      </c>
      <c r="H254" s="2">
        <f t="shared" si="3"/>
        <v>2.2816332990058363E-2</v>
      </c>
    </row>
    <row r="255" spans="1:8" x14ac:dyDescent="0.35">
      <c r="A255" s="1">
        <v>43833</v>
      </c>
      <c r="B255">
        <v>74.287497999999999</v>
      </c>
      <c r="C255">
        <v>75.144997000000004</v>
      </c>
      <c r="D255">
        <v>74.125</v>
      </c>
      <c r="E255">
        <v>74.357498000000007</v>
      </c>
      <c r="F255">
        <v>72.846367000000001</v>
      </c>
      <c r="G255">
        <v>146322800</v>
      </c>
      <c r="H255" s="2">
        <f t="shared" si="3"/>
        <v>-9.7220440227189231E-3</v>
      </c>
    </row>
    <row r="256" spans="1:8" x14ac:dyDescent="0.35">
      <c r="A256" s="1">
        <v>43836</v>
      </c>
      <c r="B256">
        <v>73.447502</v>
      </c>
      <c r="C256">
        <v>74.989998</v>
      </c>
      <c r="D256">
        <v>73.1875</v>
      </c>
      <c r="E256">
        <v>74.949996999999996</v>
      </c>
      <c r="F256">
        <v>73.426818999999995</v>
      </c>
      <c r="G256">
        <v>118387200</v>
      </c>
      <c r="H256" s="2">
        <f t="shared" si="3"/>
        <v>7.9682482054463932E-3</v>
      </c>
    </row>
    <row r="257" spans="1:8" x14ac:dyDescent="0.35">
      <c r="A257" s="1">
        <v>43837</v>
      </c>
      <c r="B257">
        <v>74.959998999999996</v>
      </c>
      <c r="C257">
        <v>75.224997999999999</v>
      </c>
      <c r="D257">
        <v>74.370002999999997</v>
      </c>
      <c r="E257">
        <v>74.597504000000001</v>
      </c>
      <c r="F257">
        <v>73.081490000000002</v>
      </c>
      <c r="G257">
        <v>108872000</v>
      </c>
      <c r="H257" s="2">
        <f t="shared" si="3"/>
        <v>-4.7030422162658292E-3</v>
      </c>
    </row>
    <row r="258" spans="1:8" x14ac:dyDescent="0.35">
      <c r="A258" s="1">
        <v>43838</v>
      </c>
      <c r="B258">
        <v>74.290001000000004</v>
      </c>
      <c r="C258">
        <v>76.110000999999997</v>
      </c>
      <c r="D258">
        <v>74.290001000000004</v>
      </c>
      <c r="E258">
        <v>75.797500999999997</v>
      </c>
      <c r="F258">
        <v>74.257110999999995</v>
      </c>
      <c r="G258">
        <v>132079200</v>
      </c>
      <c r="H258" s="2">
        <f t="shared" si="3"/>
        <v>1.6086288892454004E-2</v>
      </c>
    </row>
    <row r="259" spans="1:8" x14ac:dyDescent="0.35">
      <c r="A259" s="1">
        <v>43839</v>
      </c>
      <c r="B259">
        <v>76.809997999999993</v>
      </c>
      <c r="C259">
        <v>77.607498000000007</v>
      </c>
      <c r="D259">
        <v>76.550003000000004</v>
      </c>
      <c r="E259">
        <v>77.407500999999996</v>
      </c>
      <c r="F259">
        <v>75.834389000000002</v>
      </c>
      <c r="G259">
        <v>170108400</v>
      </c>
      <c r="H259" s="2">
        <f t="shared" si="3"/>
        <v>2.1240805814956909E-2</v>
      </c>
    </row>
    <row r="260" spans="1:8" x14ac:dyDescent="0.35">
      <c r="A260" s="1">
        <v>43840</v>
      </c>
      <c r="B260">
        <v>77.650002000000001</v>
      </c>
      <c r="C260">
        <v>78.167502999999996</v>
      </c>
      <c r="D260">
        <v>77.0625</v>
      </c>
      <c r="E260">
        <v>77.582497000000004</v>
      </c>
      <c r="F260">
        <v>76.005829000000006</v>
      </c>
      <c r="G260">
        <v>140644800</v>
      </c>
      <c r="H260" s="2">
        <f t="shared" ref="H260:H323" si="4">E260/E259-1</f>
        <v>2.2607111421928394E-3</v>
      </c>
    </row>
    <row r="261" spans="1:8" x14ac:dyDescent="0.35">
      <c r="A261" s="1">
        <v>43843</v>
      </c>
      <c r="B261">
        <v>77.910004000000001</v>
      </c>
      <c r="C261">
        <v>79.267501999999993</v>
      </c>
      <c r="D261">
        <v>77.787497999999999</v>
      </c>
      <c r="E261">
        <v>79.239998</v>
      </c>
      <c r="F261">
        <v>77.629645999999994</v>
      </c>
      <c r="G261">
        <v>121532000</v>
      </c>
      <c r="H261" s="2">
        <f t="shared" si="4"/>
        <v>2.1364367790327687E-2</v>
      </c>
    </row>
    <row r="262" spans="1:8" x14ac:dyDescent="0.35">
      <c r="A262" s="1">
        <v>43844</v>
      </c>
      <c r="B262">
        <v>79.175003000000004</v>
      </c>
      <c r="C262">
        <v>79.392501999999993</v>
      </c>
      <c r="D262">
        <v>78.042502999999996</v>
      </c>
      <c r="E262">
        <v>78.169998000000007</v>
      </c>
      <c r="F262">
        <v>76.581389999999999</v>
      </c>
      <c r="G262">
        <v>161954400</v>
      </c>
      <c r="H262" s="2">
        <f t="shared" si="4"/>
        <v>-1.3503281511945464E-2</v>
      </c>
    </row>
    <row r="263" spans="1:8" x14ac:dyDescent="0.35">
      <c r="A263" s="1">
        <v>43845</v>
      </c>
      <c r="B263">
        <v>77.962502000000001</v>
      </c>
      <c r="C263">
        <v>78.875</v>
      </c>
      <c r="D263">
        <v>77.387496999999996</v>
      </c>
      <c r="E263">
        <v>77.834998999999996</v>
      </c>
      <c r="F263">
        <v>76.253203999999997</v>
      </c>
      <c r="G263">
        <v>121923600</v>
      </c>
      <c r="H263" s="2">
        <f t="shared" si="4"/>
        <v>-4.2855188508513775E-3</v>
      </c>
    </row>
    <row r="264" spans="1:8" x14ac:dyDescent="0.35">
      <c r="A264" s="1">
        <v>43846</v>
      </c>
      <c r="B264">
        <v>78.397498999999996</v>
      </c>
      <c r="C264">
        <v>78.925003000000004</v>
      </c>
      <c r="D264">
        <v>78.022498999999996</v>
      </c>
      <c r="E264">
        <v>78.809997999999993</v>
      </c>
      <c r="F264">
        <v>77.208388999999997</v>
      </c>
      <c r="G264">
        <v>108829200</v>
      </c>
      <c r="H264" s="2">
        <f t="shared" si="4"/>
        <v>1.2526485675165233E-2</v>
      </c>
    </row>
    <row r="265" spans="1:8" x14ac:dyDescent="0.35">
      <c r="A265" s="1">
        <v>43847</v>
      </c>
      <c r="B265">
        <v>79.067497000000003</v>
      </c>
      <c r="C265">
        <v>79.684997999999993</v>
      </c>
      <c r="D265">
        <v>78.75</v>
      </c>
      <c r="E265">
        <v>79.682502999999997</v>
      </c>
      <c r="F265">
        <v>78.063164</v>
      </c>
      <c r="G265">
        <v>137816400</v>
      </c>
      <c r="H265" s="2">
        <f t="shared" si="4"/>
        <v>1.1070993809694007E-2</v>
      </c>
    </row>
    <row r="266" spans="1:8" x14ac:dyDescent="0.35">
      <c r="A266" s="1">
        <v>43851</v>
      </c>
      <c r="B266">
        <v>79.297500999999997</v>
      </c>
      <c r="C266">
        <v>79.754997000000003</v>
      </c>
      <c r="D266">
        <v>79</v>
      </c>
      <c r="E266">
        <v>79.142501999999993</v>
      </c>
      <c r="F266">
        <v>77.534133999999995</v>
      </c>
      <c r="G266">
        <v>110843200</v>
      </c>
      <c r="H266" s="2">
        <f t="shared" si="4"/>
        <v>-6.7769080998874021E-3</v>
      </c>
    </row>
    <row r="267" spans="1:8" x14ac:dyDescent="0.35">
      <c r="A267" s="1">
        <v>43852</v>
      </c>
      <c r="B267">
        <v>79.644997000000004</v>
      </c>
      <c r="C267">
        <v>79.997497999999993</v>
      </c>
      <c r="D267">
        <v>79.327499000000003</v>
      </c>
      <c r="E267">
        <v>79.425003000000004</v>
      </c>
      <c r="F267">
        <v>77.810890000000001</v>
      </c>
      <c r="G267">
        <v>101832400</v>
      </c>
      <c r="H267" s="2">
        <f t="shared" si="4"/>
        <v>3.5695232379691078E-3</v>
      </c>
    </row>
    <row r="268" spans="1:8" x14ac:dyDescent="0.35">
      <c r="A268" s="1">
        <v>43853</v>
      </c>
      <c r="B268">
        <v>79.480002999999996</v>
      </c>
      <c r="C268">
        <v>79.889999000000003</v>
      </c>
      <c r="D268">
        <v>78.912497999999999</v>
      </c>
      <c r="E268">
        <v>79.807502999999997</v>
      </c>
      <c r="F268">
        <v>78.185599999999994</v>
      </c>
      <c r="G268">
        <v>104472000</v>
      </c>
      <c r="H268" s="2">
        <f t="shared" si="4"/>
        <v>4.8158638407604926E-3</v>
      </c>
    </row>
    <row r="269" spans="1:8" x14ac:dyDescent="0.35">
      <c r="A269" s="1">
        <v>43854</v>
      </c>
      <c r="B269">
        <v>80.0625</v>
      </c>
      <c r="C269">
        <v>80.832497000000004</v>
      </c>
      <c r="D269">
        <v>79.379997000000003</v>
      </c>
      <c r="E269">
        <v>79.577499000000003</v>
      </c>
      <c r="F269">
        <v>77.960280999999995</v>
      </c>
      <c r="G269">
        <v>146537600</v>
      </c>
      <c r="H269" s="2">
        <f t="shared" si="4"/>
        <v>-2.8819846675317562E-3</v>
      </c>
    </row>
    <row r="270" spans="1:8" x14ac:dyDescent="0.35">
      <c r="A270" s="1">
        <v>43857</v>
      </c>
      <c r="B270">
        <v>77.514999000000003</v>
      </c>
      <c r="C270">
        <v>77.942497000000003</v>
      </c>
      <c r="D270">
        <v>76.220000999999996</v>
      </c>
      <c r="E270">
        <v>77.237503000000004</v>
      </c>
      <c r="F270">
        <v>75.667846999999995</v>
      </c>
      <c r="G270">
        <v>161940000</v>
      </c>
      <c r="H270" s="2">
        <f t="shared" si="4"/>
        <v>-2.9405246827372666E-2</v>
      </c>
    </row>
    <row r="271" spans="1:8" x14ac:dyDescent="0.35">
      <c r="A271" s="1">
        <v>43858</v>
      </c>
      <c r="B271">
        <v>78.150002000000001</v>
      </c>
      <c r="C271">
        <v>79.599997999999999</v>
      </c>
      <c r="D271">
        <v>78.047500999999997</v>
      </c>
      <c r="E271">
        <v>79.422500999999997</v>
      </c>
      <c r="F271">
        <v>77.808434000000005</v>
      </c>
      <c r="G271">
        <v>162234000</v>
      </c>
      <c r="H271" s="2">
        <f t="shared" si="4"/>
        <v>2.8289340218572212E-2</v>
      </c>
    </row>
    <row r="272" spans="1:8" x14ac:dyDescent="0.35">
      <c r="A272" s="1">
        <v>43859</v>
      </c>
      <c r="B272">
        <v>81.112503000000004</v>
      </c>
      <c r="C272">
        <v>81.962502000000001</v>
      </c>
      <c r="D272">
        <v>80.345000999999996</v>
      </c>
      <c r="E272">
        <v>81.084998999999996</v>
      </c>
      <c r="F272">
        <v>79.437156999999999</v>
      </c>
      <c r="G272">
        <v>216229200</v>
      </c>
      <c r="H272" s="2">
        <f t="shared" si="4"/>
        <v>2.0932329995500876E-2</v>
      </c>
    </row>
    <row r="273" spans="1:8" x14ac:dyDescent="0.35">
      <c r="A273" s="1">
        <v>43860</v>
      </c>
      <c r="B273">
        <v>80.135002</v>
      </c>
      <c r="C273">
        <v>81.022498999999996</v>
      </c>
      <c r="D273">
        <v>79.6875</v>
      </c>
      <c r="E273">
        <v>80.967499000000004</v>
      </c>
      <c r="F273">
        <v>79.322036999999995</v>
      </c>
      <c r="G273">
        <v>126743200</v>
      </c>
      <c r="H273" s="2">
        <f t="shared" si="4"/>
        <v>-1.4490966448675868E-3</v>
      </c>
    </row>
    <row r="274" spans="1:8" x14ac:dyDescent="0.35">
      <c r="A274" s="1">
        <v>43861</v>
      </c>
      <c r="B274">
        <v>80.232498000000007</v>
      </c>
      <c r="C274">
        <v>80.669998000000007</v>
      </c>
      <c r="D274">
        <v>77.072502</v>
      </c>
      <c r="E274">
        <v>77.377502000000007</v>
      </c>
      <c r="F274">
        <v>75.805008000000001</v>
      </c>
      <c r="G274">
        <v>199588400</v>
      </c>
      <c r="H274" s="2">
        <f t="shared" si="4"/>
        <v>-4.4338741400422821E-2</v>
      </c>
    </row>
    <row r="275" spans="1:8" x14ac:dyDescent="0.35">
      <c r="A275" s="1">
        <v>43864</v>
      </c>
      <c r="B275">
        <v>76.074996999999996</v>
      </c>
      <c r="C275">
        <v>78.372497999999993</v>
      </c>
      <c r="D275">
        <v>75.555000000000007</v>
      </c>
      <c r="E275">
        <v>77.165001000000004</v>
      </c>
      <c r="F275">
        <v>75.596808999999993</v>
      </c>
      <c r="G275">
        <v>173788400</v>
      </c>
      <c r="H275" s="2">
        <f t="shared" si="4"/>
        <v>-2.7462892249998649E-3</v>
      </c>
    </row>
    <row r="276" spans="1:8" x14ac:dyDescent="0.35">
      <c r="A276" s="1">
        <v>43865</v>
      </c>
      <c r="B276">
        <v>78.827499000000003</v>
      </c>
      <c r="C276">
        <v>79.910004000000001</v>
      </c>
      <c r="D276">
        <v>78.407500999999996</v>
      </c>
      <c r="E276">
        <v>79.712502000000001</v>
      </c>
      <c r="F276">
        <v>78.092545000000001</v>
      </c>
      <c r="G276">
        <v>136616400</v>
      </c>
      <c r="H276" s="2">
        <f t="shared" si="4"/>
        <v>3.3013684532965826E-2</v>
      </c>
    </row>
    <row r="277" spans="1:8" x14ac:dyDescent="0.35">
      <c r="A277" s="1">
        <v>43866</v>
      </c>
      <c r="B277">
        <v>80.879997000000003</v>
      </c>
      <c r="C277">
        <v>81.190002000000007</v>
      </c>
      <c r="D277">
        <v>79.737503000000004</v>
      </c>
      <c r="E277">
        <v>80.362503000000004</v>
      </c>
      <c r="F277">
        <v>78.729339999999993</v>
      </c>
      <c r="G277">
        <v>118826800</v>
      </c>
      <c r="H277" s="2">
        <f t="shared" si="4"/>
        <v>8.1543168724023118E-3</v>
      </c>
    </row>
    <row r="278" spans="1:8" x14ac:dyDescent="0.35">
      <c r="A278" s="1">
        <v>43867</v>
      </c>
      <c r="B278">
        <v>80.642501999999993</v>
      </c>
      <c r="C278">
        <v>81.305000000000007</v>
      </c>
      <c r="D278">
        <v>80.065002000000007</v>
      </c>
      <c r="E278">
        <v>81.302498</v>
      </c>
      <c r="F278">
        <v>79.650245999999996</v>
      </c>
      <c r="G278">
        <v>105425600</v>
      </c>
      <c r="H278" s="2">
        <f t="shared" si="4"/>
        <v>1.1696935323181723E-2</v>
      </c>
    </row>
    <row r="279" spans="1:8" x14ac:dyDescent="0.35">
      <c r="A279" s="1">
        <v>43868</v>
      </c>
      <c r="B279">
        <v>80.592499000000004</v>
      </c>
      <c r="C279">
        <v>80.849997999999999</v>
      </c>
      <c r="D279">
        <v>79.5</v>
      </c>
      <c r="E279">
        <v>80.007499999999993</v>
      </c>
      <c r="F279">
        <v>78.567581000000004</v>
      </c>
      <c r="G279">
        <v>117684000</v>
      </c>
      <c r="H279" s="2">
        <f t="shared" si="4"/>
        <v>-1.5928145282817829E-2</v>
      </c>
    </row>
    <row r="280" spans="1:8" x14ac:dyDescent="0.35">
      <c r="A280" s="1">
        <v>43871</v>
      </c>
      <c r="B280">
        <v>78.544998000000007</v>
      </c>
      <c r="C280">
        <v>80.387496999999996</v>
      </c>
      <c r="D280">
        <v>78.462502000000001</v>
      </c>
      <c r="E280">
        <v>80.387496999999996</v>
      </c>
      <c r="F280">
        <v>78.940719999999999</v>
      </c>
      <c r="G280">
        <v>109348800</v>
      </c>
      <c r="H280" s="2">
        <f t="shared" si="4"/>
        <v>4.7495172327594037E-3</v>
      </c>
    </row>
    <row r="281" spans="1:8" x14ac:dyDescent="0.35">
      <c r="A281" s="1">
        <v>43872</v>
      </c>
      <c r="B281">
        <v>80.900002000000001</v>
      </c>
      <c r="C281">
        <v>80.974997999999999</v>
      </c>
      <c r="D281">
        <v>79.677498</v>
      </c>
      <c r="E281">
        <v>79.902495999999999</v>
      </c>
      <c r="F281">
        <v>78.464470000000006</v>
      </c>
      <c r="G281">
        <v>94323200</v>
      </c>
      <c r="H281" s="2">
        <f t="shared" si="4"/>
        <v>-6.0332889827381386E-3</v>
      </c>
    </row>
    <row r="282" spans="1:8" x14ac:dyDescent="0.35">
      <c r="A282" s="1">
        <v>43873</v>
      </c>
      <c r="B282">
        <v>80.367500000000007</v>
      </c>
      <c r="C282">
        <v>81.805000000000007</v>
      </c>
      <c r="D282">
        <v>80.367500000000007</v>
      </c>
      <c r="E282">
        <v>81.800003000000004</v>
      </c>
      <c r="F282">
        <v>80.327826999999999</v>
      </c>
      <c r="G282">
        <v>113730400</v>
      </c>
      <c r="H282" s="2">
        <f t="shared" si="4"/>
        <v>2.374778129584354E-2</v>
      </c>
    </row>
    <row r="283" spans="1:8" x14ac:dyDescent="0.35">
      <c r="A283" s="1">
        <v>43874</v>
      </c>
      <c r="B283">
        <v>81.047500999999997</v>
      </c>
      <c r="C283">
        <v>81.555000000000007</v>
      </c>
      <c r="D283">
        <v>80.837502000000001</v>
      </c>
      <c r="E283">
        <v>81.217499000000004</v>
      </c>
      <c r="F283">
        <v>79.755782999999994</v>
      </c>
      <c r="G283">
        <v>94747600</v>
      </c>
      <c r="H283" s="2">
        <f t="shared" si="4"/>
        <v>-7.1210755334568665E-3</v>
      </c>
    </row>
    <row r="284" spans="1:8" x14ac:dyDescent="0.35">
      <c r="A284" s="1">
        <v>43875</v>
      </c>
      <c r="B284">
        <v>81.184997999999993</v>
      </c>
      <c r="C284">
        <v>81.495002999999997</v>
      </c>
      <c r="D284">
        <v>80.712502000000001</v>
      </c>
      <c r="E284">
        <v>81.237503000000004</v>
      </c>
      <c r="F284">
        <v>79.775435999999999</v>
      </c>
      <c r="G284">
        <v>80113600</v>
      </c>
      <c r="H284" s="2">
        <f t="shared" si="4"/>
        <v>2.4630160059468942E-4</v>
      </c>
    </row>
    <row r="285" spans="1:8" x14ac:dyDescent="0.35">
      <c r="A285" s="1">
        <v>43879</v>
      </c>
      <c r="B285">
        <v>78.839995999999999</v>
      </c>
      <c r="C285">
        <v>79.9375</v>
      </c>
      <c r="D285">
        <v>78.652495999999999</v>
      </c>
      <c r="E285">
        <v>79.75</v>
      </c>
      <c r="F285">
        <v>78.314705000000004</v>
      </c>
      <c r="G285">
        <v>152531200</v>
      </c>
      <c r="H285" s="2">
        <f t="shared" si="4"/>
        <v>-1.8310545561697089E-2</v>
      </c>
    </row>
    <row r="286" spans="1:8" x14ac:dyDescent="0.35">
      <c r="A286" s="1">
        <v>43880</v>
      </c>
      <c r="B286">
        <v>80</v>
      </c>
      <c r="C286">
        <v>81.142501999999993</v>
      </c>
      <c r="D286">
        <v>80</v>
      </c>
      <c r="E286">
        <v>80.904999000000004</v>
      </c>
      <c r="F286">
        <v>79.448929000000007</v>
      </c>
      <c r="G286">
        <v>93984000</v>
      </c>
      <c r="H286" s="2">
        <f t="shared" si="4"/>
        <v>1.4482746081504683E-2</v>
      </c>
    </row>
    <row r="287" spans="1:8" x14ac:dyDescent="0.35">
      <c r="A287" s="1">
        <v>43881</v>
      </c>
      <c r="B287">
        <v>80.657500999999996</v>
      </c>
      <c r="C287">
        <v>81.162497999999999</v>
      </c>
      <c r="D287">
        <v>79.552498</v>
      </c>
      <c r="E287">
        <v>80.074996999999996</v>
      </c>
      <c r="F287">
        <v>78.633865</v>
      </c>
      <c r="G287">
        <v>100566000</v>
      </c>
      <c r="H287" s="2">
        <f t="shared" si="4"/>
        <v>-1.0258970524182454E-2</v>
      </c>
    </row>
    <row r="288" spans="1:8" x14ac:dyDescent="0.35">
      <c r="A288" s="1">
        <v>43882</v>
      </c>
      <c r="B288">
        <v>79.654999000000004</v>
      </c>
      <c r="C288">
        <v>80.112503000000004</v>
      </c>
      <c r="D288">
        <v>77.625</v>
      </c>
      <c r="E288">
        <v>78.262496999999996</v>
      </c>
      <c r="F288">
        <v>76.853981000000005</v>
      </c>
      <c r="G288">
        <v>129554000</v>
      </c>
      <c r="H288" s="2">
        <f t="shared" si="4"/>
        <v>-2.263503050771265E-2</v>
      </c>
    </row>
    <row r="289" spans="1:8" x14ac:dyDescent="0.35">
      <c r="A289" s="1">
        <v>43885</v>
      </c>
      <c r="B289">
        <v>74.315002000000007</v>
      </c>
      <c r="C289">
        <v>76.044998000000007</v>
      </c>
      <c r="D289">
        <v>72.307502999999997</v>
      </c>
      <c r="E289">
        <v>74.544998000000007</v>
      </c>
      <c r="F289">
        <v>73.203377000000003</v>
      </c>
      <c r="G289">
        <v>222195200</v>
      </c>
      <c r="H289" s="2">
        <f t="shared" si="4"/>
        <v>-4.7500388340535382E-2</v>
      </c>
    </row>
    <row r="290" spans="1:8" x14ac:dyDescent="0.35">
      <c r="A290" s="1">
        <v>43886</v>
      </c>
      <c r="B290">
        <v>75.237503000000004</v>
      </c>
      <c r="C290">
        <v>75.632499999999993</v>
      </c>
      <c r="D290">
        <v>71.532500999999996</v>
      </c>
      <c r="E290">
        <v>72.019997000000004</v>
      </c>
      <c r="F290">
        <v>70.723823999999993</v>
      </c>
      <c r="G290">
        <v>230673600</v>
      </c>
      <c r="H290" s="2">
        <f t="shared" si="4"/>
        <v>-3.3872172080546603E-2</v>
      </c>
    </row>
    <row r="291" spans="1:8" x14ac:dyDescent="0.35">
      <c r="A291" s="1">
        <v>43887</v>
      </c>
      <c r="B291">
        <v>71.632499999999993</v>
      </c>
      <c r="C291">
        <v>74.470000999999996</v>
      </c>
      <c r="D291">
        <v>71.625</v>
      </c>
      <c r="E291">
        <v>73.162497999999999</v>
      </c>
      <c r="F291">
        <v>71.845764000000003</v>
      </c>
      <c r="G291">
        <v>198054800</v>
      </c>
      <c r="H291" s="2">
        <f t="shared" si="4"/>
        <v>1.5863663532226902E-2</v>
      </c>
    </row>
    <row r="292" spans="1:8" x14ac:dyDescent="0.35">
      <c r="A292" s="1">
        <v>43888</v>
      </c>
      <c r="B292">
        <v>70.275002000000001</v>
      </c>
      <c r="C292">
        <v>71.5</v>
      </c>
      <c r="D292">
        <v>68.239998</v>
      </c>
      <c r="E292">
        <v>68.379997000000003</v>
      </c>
      <c r="F292">
        <v>67.149338</v>
      </c>
      <c r="G292">
        <v>320605600</v>
      </c>
      <c r="H292" s="2">
        <f t="shared" si="4"/>
        <v>-6.5368202709535694E-2</v>
      </c>
    </row>
    <row r="293" spans="1:8" x14ac:dyDescent="0.35">
      <c r="A293" s="1">
        <v>43889</v>
      </c>
      <c r="B293">
        <v>64.315002000000007</v>
      </c>
      <c r="C293">
        <v>69.602501000000004</v>
      </c>
      <c r="D293">
        <v>64.092499000000004</v>
      </c>
      <c r="E293">
        <v>68.339995999999999</v>
      </c>
      <c r="F293">
        <v>67.110045999999997</v>
      </c>
      <c r="G293">
        <v>426510000</v>
      </c>
      <c r="H293" s="2">
        <f t="shared" si="4"/>
        <v>-5.8498101425774607E-4</v>
      </c>
    </row>
    <row r="294" spans="1:8" x14ac:dyDescent="0.35">
      <c r="A294" s="1">
        <v>43892</v>
      </c>
      <c r="B294">
        <v>70.569999999999993</v>
      </c>
      <c r="C294">
        <v>75.360000999999997</v>
      </c>
      <c r="D294">
        <v>69.430000000000007</v>
      </c>
      <c r="E294">
        <v>74.702499000000003</v>
      </c>
      <c r="F294">
        <v>73.358054999999993</v>
      </c>
      <c r="G294">
        <v>341397200</v>
      </c>
      <c r="H294" s="2">
        <f t="shared" si="4"/>
        <v>9.3100722452486018E-2</v>
      </c>
    </row>
    <row r="295" spans="1:8" x14ac:dyDescent="0.35">
      <c r="A295" s="1">
        <v>43893</v>
      </c>
      <c r="B295">
        <v>75.917502999999996</v>
      </c>
      <c r="C295">
        <v>76</v>
      </c>
      <c r="D295">
        <v>71.449996999999996</v>
      </c>
      <c r="E295">
        <v>72.330001999999993</v>
      </c>
      <c r="F295">
        <v>71.028236000000007</v>
      </c>
      <c r="G295">
        <v>319475600</v>
      </c>
      <c r="H295" s="2">
        <f t="shared" si="4"/>
        <v>-3.1759272203196409E-2</v>
      </c>
    </row>
    <row r="296" spans="1:8" x14ac:dyDescent="0.35">
      <c r="A296" s="1">
        <v>43894</v>
      </c>
      <c r="B296">
        <v>74.110000999999997</v>
      </c>
      <c r="C296">
        <v>75.849997999999999</v>
      </c>
      <c r="D296">
        <v>73.282500999999996</v>
      </c>
      <c r="E296">
        <v>75.684997999999993</v>
      </c>
      <c r="F296">
        <v>74.322868</v>
      </c>
      <c r="G296">
        <v>219178400</v>
      </c>
      <c r="H296" s="2">
        <f t="shared" si="4"/>
        <v>4.6384569434962719E-2</v>
      </c>
    </row>
    <row r="297" spans="1:8" x14ac:dyDescent="0.35">
      <c r="A297" s="1">
        <v>43895</v>
      </c>
      <c r="B297">
        <v>73.879997000000003</v>
      </c>
      <c r="C297">
        <v>74.887496999999996</v>
      </c>
      <c r="D297">
        <v>72.852501000000004</v>
      </c>
      <c r="E297">
        <v>73.230002999999996</v>
      </c>
      <c r="F297">
        <v>71.912064000000001</v>
      </c>
      <c r="G297">
        <v>187572800</v>
      </c>
      <c r="H297" s="2">
        <f t="shared" si="4"/>
        <v>-3.2437009511449011E-2</v>
      </c>
    </row>
    <row r="298" spans="1:8" x14ac:dyDescent="0.35">
      <c r="A298" s="1">
        <v>43896</v>
      </c>
      <c r="B298">
        <v>70.5</v>
      </c>
      <c r="C298">
        <v>72.705001999999993</v>
      </c>
      <c r="D298">
        <v>70.307502999999997</v>
      </c>
      <c r="E298">
        <v>72.257499999999993</v>
      </c>
      <c r="F298">
        <v>70.957053999999999</v>
      </c>
      <c r="G298">
        <v>226176800</v>
      </c>
      <c r="H298" s="2">
        <f t="shared" si="4"/>
        <v>-1.3280116894164307E-2</v>
      </c>
    </row>
    <row r="299" spans="1:8" x14ac:dyDescent="0.35">
      <c r="A299" s="1">
        <v>43899</v>
      </c>
      <c r="B299">
        <v>65.9375</v>
      </c>
      <c r="C299">
        <v>69.522498999999996</v>
      </c>
      <c r="D299">
        <v>65.75</v>
      </c>
      <c r="E299">
        <v>66.542502999999996</v>
      </c>
      <c r="F299">
        <v>65.344909999999999</v>
      </c>
      <c r="G299">
        <v>286744800</v>
      </c>
      <c r="H299" s="2">
        <f t="shared" si="4"/>
        <v>-7.9092094246271949E-2</v>
      </c>
    </row>
    <row r="300" spans="1:8" x14ac:dyDescent="0.35">
      <c r="A300" s="1">
        <v>43900</v>
      </c>
      <c r="B300">
        <v>69.285004000000001</v>
      </c>
      <c r="C300">
        <v>71.610000999999997</v>
      </c>
      <c r="D300">
        <v>67.342499000000004</v>
      </c>
      <c r="E300">
        <v>71.334998999999996</v>
      </c>
      <c r="F300">
        <v>70.051163000000003</v>
      </c>
      <c r="G300">
        <v>285290000</v>
      </c>
      <c r="H300" s="2">
        <f t="shared" si="4"/>
        <v>7.2021576946091237E-2</v>
      </c>
    </row>
    <row r="301" spans="1:8" x14ac:dyDescent="0.35">
      <c r="A301" s="1">
        <v>43901</v>
      </c>
      <c r="B301">
        <v>69.347504000000001</v>
      </c>
      <c r="C301">
        <v>70.305000000000007</v>
      </c>
      <c r="D301">
        <v>67.964995999999999</v>
      </c>
      <c r="E301">
        <v>68.857498000000007</v>
      </c>
      <c r="F301">
        <v>67.61824</v>
      </c>
      <c r="G301">
        <v>255598800</v>
      </c>
      <c r="H301" s="2">
        <f t="shared" si="4"/>
        <v>-3.4730511456234736E-2</v>
      </c>
    </row>
    <row r="302" spans="1:8" x14ac:dyDescent="0.35">
      <c r="A302" s="1">
        <v>43902</v>
      </c>
      <c r="B302">
        <v>63.985000999999997</v>
      </c>
      <c r="C302">
        <v>67.5</v>
      </c>
      <c r="D302">
        <v>62</v>
      </c>
      <c r="E302">
        <v>62.057499</v>
      </c>
      <c r="F302">
        <v>60.940620000000003</v>
      </c>
      <c r="G302">
        <v>418474000</v>
      </c>
      <c r="H302" s="2">
        <f t="shared" si="4"/>
        <v>-9.8754662854581343E-2</v>
      </c>
    </row>
    <row r="303" spans="1:8" x14ac:dyDescent="0.35">
      <c r="A303" s="1">
        <v>43903</v>
      </c>
      <c r="B303">
        <v>66.222504000000001</v>
      </c>
      <c r="C303">
        <v>69.980002999999996</v>
      </c>
      <c r="D303">
        <v>63.237499</v>
      </c>
      <c r="E303">
        <v>69.492500000000007</v>
      </c>
      <c r="F303">
        <v>68.241821000000002</v>
      </c>
      <c r="G303">
        <v>370732000</v>
      </c>
      <c r="H303" s="2">
        <f t="shared" si="4"/>
        <v>0.11980826040056836</v>
      </c>
    </row>
    <row r="304" spans="1:8" x14ac:dyDescent="0.35">
      <c r="A304" s="1">
        <v>43906</v>
      </c>
      <c r="B304">
        <v>60.487499</v>
      </c>
      <c r="C304">
        <v>64.769997000000004</v>
      </c>
      <c r="D304">
        <v>60</v>
      </c>
      <c r="E304">
        <v>60.552501999999997</v>
      </c>
      <c r="F304">
        <v>59.462715000000003</v>
      </c>
      <c r="G304">
        <v>322423600</v>
      </c>
      <c r="H304" s="2">
        <f t="shared" si="4"/>
        <v>-0.12864694751232164</v>
      </c>
    </row>
    <row r="305" spans="1:8" x14ac:dyDescent="0.35">
      <c r="A305" s="1">
        <v>43907</v>
      </c>
      <c r="B305">
        <v>61.877499</v>
      </c>
      <c r="C305">
        <v>64.402495999999999</v>
      </c>
      <c r="D305">
        <v>59.599997999999999</v>
      </c>
      <c r="E305">
        <v>63.215000000000003</v>
      </c>
      <c r="F305">
        <v>62.077297000000002</v>
      </c>
      <c r="G305">
        <v>324056000</v>
      </c>
      <c r="H305" s="2">
        <f t="shared" si="4"/>
        <v>4.3970074101975287E-2</v>
      </c>
    </row>
    <row r="306" spans="1:8" x14ac:dyDescent="0.35">
      <c r="A306" s="1">
        <v>43908</v>
      </c>
      <c r="B306">
        <v>59.942501</v>
      </c>
      <c r="C306">
        <v>62.5</v>
      </c>
      <c r="D306">
        <v>59.279998999999997</v>
      </c>
      <c r="E306">
        <v>61.667499999999997</v>
      </c>
      <c r="F306">
        <v>60.557644000000003</v>
      </c>
      <c r="G306">
        <v>300233600</v>
      </c>
      <c r="H306" s="2">
        <f t="shared" si="4"/>
        <v>-2.4479949379103139E-2</v>
      </c>
    </row>
    <row r="307" spans="1:8" x14ac:dyDescent="0.35">
      <c r="A307" s="1">
        <v>43909</v>
      </c>
      <c r="B307">
        <v>61.847499999999997</v>
      </c>
      <c r="C307">
        <v>63.209999000000003</v>
      </c>
      <c r="D307">
        <v>60.652500000000003</v>
      </c>
      <c r="E307">
        <v>61.195</v>
      </c>
      <c r="F307">
        <v>60.093654999999998</v>
      </c>
      <c r="G307">
        <v>271857200</v>
      </c>
      <c r="H307" s="2">
        <f t="shared" si="4"/>
        <v>-7.6620586208293595E-3</v>
      </c>
    </row>
    <row r="308" spans="1:8" x14ac:dyDescent="0.35">
      <c r="A308" s="1">
        <v>43910</v>
      </c>
      <c r="B308">
        <v>61.794998</v>
      </c>
      <c r="C308">
        <v>62.957500000000003</v>
      </c>
      <c r="D308">
        <v>57</v>
      </c>
      <c r="E308">
        <v>57.310001</v>
      </c>
      <c r="F308">
        <v>56.278568</v>
      </c>
      <c r="G308">
        <v>401693200</v>
      </c>
      <c r="H308" s="2">
        <f t="shared" si="4"/>
        <v>-6.3485562545959606E-2</v>
      </c>
    </row>
    <row r="309" spans="1:8" x14ac:dyDescent="0.35">
      <c r="A309" s="1">
        <v>43913</v>
      </c>
      <c r="B309">
        <v>57.02</v>
      </c>
      <c r="C309">
        <v>57.125</v>
      </c>
      <c r="D309">
        <v>53.152500000000003</v>
      </c>
      <c r="E309">
        <v>56.092498999999997</v>
      </c>
      <c r="F309">
        <v>55.082980999999997</v>
      </c>
      <c r="G309">
        <v>336752800</v>
      </c>
      <c r="H309" s="2">
        <f t="shared" si="4"/>
        <v>-2.1244145502632317E-2</v>
      </c>
    </row>
    <row r="310" spans="1:8" x14ac:dyDescent="0.35">
      <c r="A310" s="1">
        <v>43914</v>
      </c>
      <c r="B310">
        <v>59.09</v>
      </c>
      <c r="C310">
        <v>61.922500999999997</v>
      </c>
      <c r="D310">
        <v>58.575001</v>
      </c>
      <c r="E310">
        <v>61.720001000000003</v>
      </c>
      <c r="F310">
        <v>60.609203000000001</v>
      </c>
      <c r="G310">
        <v>287531200</v>
      </c>
      <c r="H310" s="2">
        <f t="shared" si="4"/>
        <v>0.10032539288363695</v>
      </c>
    </row>
    <row r="311" spans="1:8" x14ac:dyDescent="0.35">
      <c r="A311" s="1">
        <v>43915</v>
      </c>
      <c r="B311">
        <v>62.6875</v>
      </c>
      <c r="C311">
        <v>64.5625</v>
      </c>
      <c r="D311">
        <v>61.075001</v>
      </c>
      <c r="E311">
        <v>61.380001</v>
      </c>
      <c r="F311">
        <v>60.275326</v>
      </c>
      <c r="G311">
        <v>303602000</v>
      </c>
      <c r="H311" s="2">
        <f t="shared" si="4"/>
        <v>-5.5087491006360345E-3</v>
      </c>
    </row>
    <row r="312" spans="1:8" x14ac:dyDescent="0.35">
      <c r="A312" s="1">
        <v>43916</v>
      </c>
      <c r="B312">
        <v>61.630001</v>
      </c>
      <c r="C312">
        <v>64.669998000000007</v>
      </c>
      <c r="D312">
        <v>61.59</v>
      </c>
      <c r="E312">
        <v>64.610000999999997</v>
      </c>
      <c r="F312">
        <v>63.447186000000002</v>
      </c>
      <c r="G312">
        <v>252087200</v>
      </c>
      <c r="H312" s="2">
        <f t="shared" si="4"/>
        <v>5.262300337857595E-2</v>
      </c>
    </row>
    <row r="313" spans="1:8" x14ac:dyDescent="0.35">
      <c r="A313" s="1">
        <v>43917</v>
      </c>
      <c r="B313">
        <v>63.1875</v>
      </c>
      <c r="C313">
        <v>63.967498999999997</v>
      </c>
      <c r="D313">
        <v>61.762501</v>
      </c>
      <c r="E313">
        <v>61.935001</v>
      </c>
      <c r="F313">
        <v>60.820332000000001</v>
      </c>
      <c r="G313">
        <v>204216800</v>
      </c>
      <c r="H313" s="2">
        <f t="shared" si="4"/>
        <v>-4.1402259071316228E-2</v>
      </c>
    </row>
    <row r="314" spans="1:8" x14ac:dyDescent="0.35">
      <c r="A314" s="1">
        <v>43920</v>
      </c>
      <c r="B314">
        <v>62.685001</v>
      </c>
      <c r="C314">
        <v>63.880001</v>
      </c>
      <c r="D314">
        <v>62.349997999999999</v>
      </c>
      <c r="E314">
        <v>63.702499000000003</v>
      </c>
      <c r="F314">
        <v>62.556018999999999</v>
      </c>
      <c r="G314">
        <v>167976400</v>
      </c>
      <c r="H314" s="2">
        <f t="shared" si="4"/>
        <v>2.8537950616970287E-2</v>
      </c>
    </row>
    <row r="315" spans="1:8" x14ac:dyDescent="0.35">
      <c r="A315" s="1">
        <v>43921</v>
      </c>
      <c r="B315">
        <v>63.900002000000001</v>
      </c>
      <c r="C315">
        <v>65.622497999999993</v>
      </c>
      <c r="D315">
        <v>63</v>
      </c>
      <c r="E315">
        <v>63.572498000000003</v>
      </c>
      <c r="F315">
        <v>62.428359999999998</v>
      </c>
      <c r="G315">
        <v>197002000</v>
      </c>
      <c r="H315" s="2">
        <f t="shared" si="4"/>
        <v>-2.0407519648483197E-3</v>
      </c>
    </row>
    <row r="316" spans="1:8" x14ac:dyDescent="0.35">
      <c r="A316" s="1">
        <v>43922</v>
      </c>
      <c r="B316">
        <v>61.625</v>
      </c>
      <c r="C316">
        <v>62.18</v>
      </c>
      <c r="D316">
        <v>59.782501000000003</v>
      </c>
      <c r="E316">
        <v>60.227500999999997</v>
      </c>
      <c r="F316">
        <v>59.143562000000003</v>
      </c>
      <c r="G316">
        <v>176218400</v>
      </c>
      <c r="H316" s="2">
        <f t="shared" si="4"/>
        <v>-5.2617045188314115E-2</v>
      </c>
    </row>
    <row r="317" spans="1:8" x14ac:dyDescent="0.35">
      <c r="A317" s="1">
        <v>43923</v>
      </c>
      <c r="B317">
        <v>60.084999000000003</v>
      </c>
      <c r="C317">
        <v>61.287497999999999</v>
      </c>
      <c r="D317">
        <v>59.224997999999999</v>
      </c>
      <c r="E317">
        <v>61.232498</v>
      </c>
      <c r="F317">
        <v>60.130470000000003</v>
      </c>
      <c r="G317">
        <v>165934000</v>
      </c>
      <c r="H317" s="2">
        <f t="shared" si="4"/>
        <v>1.6686679395846227E-2</v>
      </c>
    </row>
    <row r="318" spans="1:8" x14ac:dyDescent="0.35">
      <c r="A318" s="1">
        <v>43924</v>
      </c>
      <c r="B318">
        <v>60.700001</v>
      </c>
      <c r="C318">
        <v>61.424999</v>
      </c>
      <c r="D318">
        <v>59.7425</v>
      </c>
      <c r="E318">
        <v>60.352500999999997</v>
      </c>
      <c r="F318">
        <v>59.266319000000003</v>
      </c>
      <c r="G318">
        <v>129880000</v>
      </c>
      <c r="H318" s="2">
        <f t="shared" si="4"/>
        <v>-1.4371404544038069E-2</v>
      </c>
    </row>
    <row r="319" spans="1:8" x14ac:dyDescent="0.35">
      <c r="A319" s="1">
        <v>43927</v>
      </c>
      <c r="B319">
        <v>62.724997999999999</v>
      </c>
      <c r="C319">
        <v>65.777495999999999</v>
      </c>
      <c r="D319">
        <v>62.345001000000003</v>
      </c>
      <c r="E319">
        <v>65.617500000000007</v>
      </c>
      <c r="F319">
        <v>64.436554000000001</v>
      </c>
      <c r="G319">
        <v>201820400</v>
      </c>
      <c r="H319" s="2">
        <f t="shared" si="4"/>
        <v>8.7237461791351611E-2</v>
      </c>
    </row>
    <row r="320" spans="1:8" x14ac:dyDescent="0.35">
      <c r="A320" s="1">
        <v>43928</v>
      </c>
      <c r="B320">
        <v>67.699996999999996</v>
      </c>
      <c r="C320">
        <v>67.925003000000004</v>
      </c>
      <c r="D320">
        <v>64.75</v>
      </c>
      <c r="E320">
        <v>64.857498000000007</v>
      </c>
      <c r="F320">
        <v>63.690230999999997</v>
      </c>
      <c r="G320">
        <v>202887200</v>
      </c>
      <c r="H320" s="2">
        <f t="shared" si="4"/>
        <v>-1.158230654931991E-2</v>
      </c>
    </row>
    <row r="321" spans="1:8" x14ac:dyDescent="0.35">
      <c r="A321" s="1">
        <v>43929</v>
      </c>
      <c r="B321">
        <v>65.684997999999993</v>
      </c>
      <c r="C321">
        <v>66.842499000000004</v>
      </c>
      <c r="D321">
        <v>65.307502999999997</v>
      </c>
      <c r="E321">
        <v>66.517501999999993</v>
      </c>
      <c r="F321">
        <v>65.320366000000007</v>
      </c>
      <c r="G321">
        <v>168895200</v>
      </c>
      <c r="H321" s="2">
        <f t="shared" si="4"/>
        <v>2.5594635180037129E-2</v>
      </c>
    </row>
    <row r="322" spans="1:8" x14ac:dyDescent="0.35">
      <c r="A322" s="1">
        <v>43930</v>
      </c>
      <c r="B322">
        <v>67.175003000000004</v>
      </c>
      <c r="C322">
        <v>67.517501999999993</v>
      </c>
      <c r="D322">
        <v>66.175003000000004</v>
      </c>
      <c r="E322">
        <v>66.997497999999993</v>
      </c>
      <c r="F322">
        <v>65.791725</v>
      </c>
      <c r="G322">
        <v>161834800</v>
      </c>
      <c r="H322" s="2">
        <f t="shared" si="4"/>
        <v>7.2160857754399732E-3</v>
      </c>
    </row>
    <row r="323" spans="1:8" x14ac:dyDescent="0.35">
      <c r="A323" s="1">
        <v>43934</v>
      </c>
      <c r="B323">
        <v>67.077499000000003</v>
      </c>
      <c r="C323">
        <v>68.425003000000004</v>
      </c>
      <c r="D323">
        <v>66.457497000000004</v>
      </c>
      <c r="E323">
        <v>68.3125</v>
      </c>
      <c r="F323">
        <v>67.083068999999995</v>
      </c>
      <c r="G323">
        <v>131022800</v>
      </c>
      <c r="H323" s="2">
        <f t="shared" si="4"/>
        <v>1.962762848248456E-2</v>
      </c>
    </row>
    <row r="324" spans="1:8" x14ac:dyDescent="0.35">
      <c r="A324" s="1">
        <v>43935</v>
      </c>
      <c r="B324">
        <v>70</v>
      </c>
      <c r="C324">
        <v>72.0625</v>
      </c>
      <c r="D324">
        <v>69.512496999999996</v>
      </c>
      <c r="E324">
        <v>71.762496999999996</v>
      </c>
      <c r="F324">
        <v>70.470955000000004</v>
      </c>
      <c r="G324">
        <v>194994800</v>
      </c>
      <c r="H324" s="2">
        <f t="shared" ref="H324:H387" si="5">E324/E323-1</f>
        <v>5.0503158279963323E-2</v>
      </c>
    </row>
    <row r="325" spans="1:8" x14ac:dyDescent="0.35">
      <c r="A325" s="1">
        <v>43936</v>
      </c>
      <c r="B325">
        <v>70.599997999999999</v>
      </c>
      <c r="C325">
        <v>71.582497000000004</v>
      </c>
      <c r="D325">
        <v>70.157500999999996</v>
      </c>
      <c r="E325">
        <v>71.107498000000007</v>
      </c>
      <c r="F325">
        <v>69.827736000000002</v>
      </c>
      <c r="G325">
        <v>131154400</v>
      </c>
      <c r="H325" s="2">
        <f t="shared" si="5"/>
        <v>-9.1273161802046809E-3</v>
      </c>
    </row>
    <row r="326" spans="1:8" x14ac:dyDescent="0.35">
      <c r="A326" s="1">
        <v>43937</v>
      </c>
      <c r="B326">
        <v>71.845000999999996</v>
      </c>
      <c r="C326">
        <v>72.050003000000004</v>
      </c>
      <c r="D326">
        <v>70.587502000000001</v>
      </c>
      <c r="E326">
        <v>71.672500999999997</v>
      </c>
      <c r="F326">
        <v>70.382583999999994</v>
      </c>
      <c r="G326">
        <v>157125200</v>
      </c>
      <c r="H326" s="2">
        <f t="shared" si="5"/>
        <v>7.945758406518344E-3</v>
      </c>
    </row>
    <row r="327" spans="1:8" x14ac:dyDescent="0.35">
      <c r="A327" s="1">
        <v>43938</v>
      </c>
      <c r="B327">
        <v>71.172500999999997</v>
      </c>
      <c r="C327">
        <v>71.737503000000004</v>
      </c>
      <c r="D327">
        <v>69.214995999999999</v>
      </c>
      <c r="E327">
        <v>70.699996999999996</v>
      </c>
      <c r="F327">
        <v>69.427582000000001</v>
      </c>
      <c r="G327">
        <v>215250000</v>
      </c>
      <c r="H327" s="2">
        <f t="shared" si="5"/>
        <v>-1.3568718635896371E-2</v>
      </c>
    </row>
    <row r="328" spans="1:8" x14ac:dyDescent="0.35">
      <c r="A328" s="1">
        <v>43941</v>
      </c>
      <c r="B328">
        <v>69.487503000000004</v>
      </c>
      <c r="C328">
        <v>70.419998000000007</v>
      </c>
      <c r="D328">
        <v>69.212502000000001</v>
      </c>
      <c r="E328">
        <v>69.232498000000007</v>
      </c>
      <c r="F328">
        <v>67.986487999999994</v>
      </c>
      <c r="G328">
        <v>130015200</v>
      </c>
      <c r="H328" s="2">
        <f t="shared" si="5"/>
        <v>-2.075670526548945E-2</v>
      </c>
    </row>
    <row r="329" spans="1:8" x14ac:dyDescent="0.35">
      <c r="A329" s="1">
        <v>43942</v>
      </c>
      <c r="B329">
        <v>69.069999999999993</v>
      </c>
      <c r="C329">
        <v>69.3125</v>
      </c>
      <c r="D329">
        <v>66.357498000000007</v>
      </c>
      <c r="E329">
        <v>67.092499000000004</v>
      </c>
      <c r="F329">
        <v>65.885009999999994</v>
      </c>
      <c r="G329">
        <v>180991600</v>
      </c>
      <c r="H329" s="2">
        <f t="shared" si="5"/>
        <v>-3.0910324801511568E-2</v>
      </c>
    </row>
    <row r="330" spans="1:8" x14ac:dyDescent="0.35">
      <c r="A330" s="1">
        <v>43943</v>
      </c>
      <c r="B330">
        <v>68.402495999999999</v>
      </c>
      <c r="C330">
        <v>69.474997999999999</v>
      </c>
      <c r="D330">
        <v>68.050003000000004</v>
      </c>
      <c r="E330">
        <v>69.025002000000001</v>
      </c>
      <c r="F330">
        <v>67.782737999999995</v>
      </c>
      <c r="G330">
        <v>116862400</v>
      </c>
      <c r="H330" s="2">
        <f t="shared" si="5"/>
        <v>2.8803562675463912E-2</v>
      </c>
    </row>
    <row r="331" spans="1:8" x14ac:dyDescent="0.35">
      <c r="A331" s="1">
        <v>43944</v>
      </c>
      <c r="B331">
        <v>68.967499000000004</v>
      </c>
      <c r="C331">
        <v>70.4375</v>
      </c>
      <c r="D331">
        <v>68.717499000000004</v>
      </c>
      <c r="E331">
        <v>68.757499999999993</v>
      </c>
      <c r="F331">
        <v>67.520042000000004</v>
      </c>
      <c r="G331">
        <v>124814400</v>
      </c>
      <c r="H331" s="2">
        <f t="shared" si="5"/>
        <v>-3.8754363237831768E-3</v>
      </c>
    </row>
    <row r="332" spans="1:8" x14ac:dyDescent="0.35">
      <c r="A332" s="1">
        <v>43945</v>
      </c>
      <c r="B332">
        <v>69.300003000000004</v>
      </c>
      <c r="C332">
        <v>70.752502000000007</v>
      </c>
      <c r="D332">
        <v>69.25</v>
      </c>
      <c r="E332">
        <v>70.742500000000007</v>
      </c>
      <c r="F332">
        <v>69.469322000000005</v>
      </c>
      <c r="G332">
        <v>126161200</v>
      </c>
      <c r="H332" s="2">
        <f t="shared" si="5"/>
        <v>2.8869577864233165E-2</v>
      </c>
    </row>
    <row r="333" spans="1:8" x14ac:dyDescent="0.35">
      <c r="A333" s="1">
        <v>43948</v>
      </c>
      <c r="B333">
        <v>70.449996999999996</v>
      </c>
      <c r="C333">
        <v>71.135002</v>
      </c>
      <c r="D333">
        <v>69.987503000000004</v>
      </c>
      <c r="E333">
        <v>70.792502999999996</v>
      </c>
      <c r="F333">
        <v>69.518433000000002</v>
      </c>
      <c r="G333">
        <v>117087600</v>
      </c>
      <c r="H333" s="2">
        <f t="shared" si="5"/>
        <v>7.0683111283864619E-4</v>
      </c>
    </row>
    <row r="334" spans="1:8" x14ac:dyDescent="0.35">
      <c r="A334" s="1">
        <v>43949</v>
      </c>
      <c r="B334">
        <v>71.269997000000004</v>
      </c>
      <c r="C334">
        <v>71.457497000000004</v>
      </c>
      <c r="D334">
        <v>69.550003000000004</v>
      </c>
      <c r="E334">
        <v>69.644997000000004</v>
      </c>
      <c r="F334">
        <v>68.391563000000005</v>
      </c>
      <c r="G334">
        <v>112004800</v>
      </c>
      <c r="H334" s="2">
        <f t="shared" si="5"/>
        <v>-1.6209428278019633E-2</v>
      </c>
    </row>
    <row r="335" spans="1:8" x14ac:dyDescent="0.35">
      <c r="A335" s="1">
        <v>43950</v>
      </c>
      <c r="B335">
        <v>71.182502999999997</v>
      </c>
      <c r="C335">
        <v>72.417502999999996</v>
      </c>
      <c r="D335">
        <v>70.972504000000001</v>
      </c>
      <c r="E335">
        <v>71.932502999999997</v>
      </c>
      <c r="F335">
        <v>70.637917000000002</v>
      </c>
      <c r="G335">
        <v>137280800</v>
      </c>
      <c r="H335" s="2">
        <f t="shared" si="5"/>
        <v>3.2845230792385438E-2</v>
      </c>
    </row>
    <row r="336" spans="1:8" x14ac:dyDescent="0.35">
      <c r="A336" s="1">
        <v>43951</v>
      </c>
      <c r="B336">
        <v>72.489998</v>
      </c>
      <c r="C336">
        <v>73.632499999999993</v>
      </c>
      <c r="D336">
        <v>72.087502000000001</v>
      </c>
      <c r="E336">
        <v>73.449996999999996</v>
      </c>
      <c r="F336">
        <v>72.128082000000006</v>
      </c>
      <c r="G336">
        <v>183064000</v>
      </c>
      <c r="H336" s="2">
        <f t="shared" si="5"/>
        <v>2.1096082253664994E-2</v>
      </c>
    </row>
    <row r="337" spans="1:8" x14ac:dyDescent="0.35">
      <c r="A337" s="1">
        <v>43952</v>
      </c>
      <c r="B337">
        <v>71.5625</v>
      </c>
      <c r="C337">
        <v>74.75</v>
      </c>
      <c r="D337">
        <v>71.462502000000001</v>
      </c>
      <c r="E337">
        <v>72.267501999999993</v>
      </c>
      <c r="F337">
        <v>70.966865999999996</v>
      </c>
      <c r="G337">
        <v>240616800</v>
      </c>
      <c r="H337" s="2">
        <f t="shared" si="5"/>
        <v>-1.609931992236846E-2</v>
      </c>
    </row>
    <row r="338" spans="1:8" x14ac:dyDescent="0.35">
      <c r="A338" s="1">
        <v>43955</v>
      </c>
      <c r="B338">
        <v>72.292502999999996</v>
      </c>
      <c r="C338">
        <v>73.422500999999997</v>
      </c>
      <c r="D338">
        <v>71.580001999999993</v>
      </c>
      <c r="E338">
        <v>73.290001000000004</v>
      </c>
      <c r="F338">
        <v>71.970978000000002</v>
      </c>
      <c r="G338">
        <v>133568000</v>
      </c>
      <c r="H338" s="2">
        <f t="shared" si="5"/>
        <v>1.4148807855569823E-2</v>
      </c>
    </row>
    <row r="339" spans="1:8" x14ac:dyDescent="0.35">
      <c r="A339" s="1">
        <v>43956</v>
      </c>
      <c r="B339">
        <v>73.764999000000003</v>
      </c>
      <c r="C339">
        <v>75.25</v>
      </c>
      <c r="D339">
        <v>73.614998</v>
      </c>
      <c r="E339">
        <v>74.389999000000003</v>
      </c>
      <c r="F339">
        <v>73.051169999999999</v>
      </c>
      <c r="G339">
        <v>147751200</v>
      </c>
      <c r="H339" s="2">
        <f t="shared" si="5"/>
        <v>1.5008841383424176E-2</v>
      </c>
    </row>
    <row r="340" spans="1:8" x14ac:dyDescent="0.35">
      <c r="A340" s="1">
        <v>43957</v>
      </c>
      <c r="B340">
        <v>75.114998</v>
      </c>
      <c r="C340">
        <v>75.809997999999993</v>
      </c>
      <c r="D340">
        <v>74.717499000000004</v>
      </c>
      <c r="E340">
        <v>75.157500999999996</v>
      </c>
      <c r="F340">
        <v>73.804855000000003</v>
      </c>
      <c r="G340">
        <v>142333600</v>
      </c>
      <c r="H340" s="2">
        <f t="shared" si="5"/>
        <v>1.0317273965818829E-2</v>
      </c>
    </row>
    <row r="341" spans="1:8" x14ac:dyDescent="0.35">
      <c r="A341" s="1">
        <v>43958</v>
      </c>
      <c r="B341">
        <v>75.805000000000007</v>
      </c>
      <c r="C341">
        <v>76.292502999999996</v>
      </c>
      <c r="D341">
        <v>75.492500000000007</v>
      </c>
      <c r="E341">
        <v>75.934997999999993</v>
      </c>
      <c r="F341">
        <v>74.568352000000004</v>
      </c>
      <c r="G341">
        <v>115215200</v>
      </c>
      <c r="H341" s="2">
        <f t="shared" si="5"/>
        <v>1.0344902234043163E-2</v>
      </c>
    </row>
    <row r="342" spans="1:8" x14ac:dyDescent="0.35">
      <c r="A342" s="1">
        <v>43959</v>
      </c>
      <c r="B342">
        <v>76.410004000000001</v>
      </c>
      <c r="C342">
        <v>77.587502000000001</v>
      </c>
      <c r="D342">
        <v>76.072502</v>
      </c>
      <c r="E342">
        <v>77.532500999999996</v>
      </c>
      <c r="F342">
        <v>76.343224000000006</v>
      </c>
      <c r="G342">
        <v>133838400</v>
      </c>
      <c r="H342" s="2">
        <f t="shared" si="5"/>
        <v>2.1037769698762698E-2</v>
      </c>
    </row>
    <row r="343" spans="1:8" x14ac:dyDescent="0.35">
      <c r="A343" s="1">
        <v>43962</v>
      </c>
      <c r="B343">
        <v>77.025002000000001</v>
      </c>
      <c r="C343">
        <v>79.262496999999996</v>
      </c>
      <c r="D343">
        <v>76.809997999999993</v>
      </c>
      <c r="E343">
        <v>78.752502000000007</v>
      </c>
      <c r="F343">
        <v>77.544501999999994</v>
      </c>
      <c r="G343">
        <v>145946400</v>
      </c>
      <c r="H343" s="2">
        <f t="shared" si="5"/>
        <v>1.5735349489113037E-2</v>
      </c>
    </row>
    <row r="344" spans="1:8" x14ac:dyDescent="0.35">
      <c r="A344" s="1">
        <v>43963</v>
      </c>
      <c r="B344">
        <v>79.457497000000004</v>
      </c>
      <c r="C344">
        <v>79.922500999999997</v>
      </c>
      <c r="D344">
        <v>77.727501000000004</v>
      </c>
      <c r="E344">
        <v>77.852501000000004</v>
      </c>
      <c r="F344">
        <v>76.65831</v>
      </c>
      <c r="G344">
        <v>162301200</v>
      </c>
      <c r="H344" s="2">
        <f t="shared" si="5"/>
        <v>-1.142822103607577E-2</v>
      </c>
    </row>
    <row r="345" spans="1:8" x14ac:dyDescent="0.35">
      <c r="A345" s="1">
        <v>43964</v>
      </c>
      <c r="B345">
        <v>78.037497999999999</v>
      </c>
      <c r="C345">
        <v>78.987503000000004</v>
      </c>
      <c r="D345">
        <v>75.802498</v>
      </c>
      <c r="E345">
        <v>76.912497999999999</v>
      </c>
      <c r="F345">
        <v>75.732719000000003</v>
      </c>
      <c r="G345">
        <v>200622400</v>
      </c>
      <c r="H345" s="2">
        <f t="shared" si="5"/>
        <v>-1.2074152890733769E-2</v>
      </c>
    </row>
    <row r="346" spans="1:8" x14ac:dyDescent="0.35">
      <c r="A346" s="1">
        <v>43965</v>
      </c>
      <c r="B346">
        <v>76.127502000000007</v>
      </c>
      <c r="C346">
        <v>77.447502</v>
      </c>
      <c r="D346">
        <v>75.382499999999993</v>
      </c>
      <c r="E346">
        <v>77.385002</v>
      </c>
      <c r="F346">
        <v>76.197990000000004</v>
      </c>
      <c r="G346">
        <v>158929200</v>
      </c>
      <c r="H346" s="2">
        <f t="shared" si="5"/>
        <v>6.1433968767989899E-3</v>
      </c>
    </row>
    <row r="347" spans="1:8" x14ac:dyDescent="0.35">
      <c r="A347" s="1">
        <v>43966</v>
      </c>
      <c r="B347">
        <v>75.087502000000001</v>
      </c>
      <c r="C347">
        <v>76.974997999999999</v>
      </c>
      <c r="D347">
        <v>75.052498</v>
      </c>
      <c r="E347">
        <v>76.927498</v>
      </c>
      <c r="F347">
        <v>75.747497999999993</v>
      </c>
      <c r="G347">
        <v>166348400</v>
      </c>
      <c r="H347" s="2">
        <f t="shared" si="5"/>
        <v>-5.9120499861200493E-3</v>
      </c>
    </row>
    <row r="348" spans="1:8" x14ac:dyDescent="0.35">
      <c r="A348" s="1">
        <v>43969</v>
      </c>
      <c r="B348">
        <v>78.292502999999996</v>
      </c>
      <c r="C348">
        <v>79.125</v>
      </c>
      <c r="D348">
        <v>77.580001999999993</v>
      </c>
      <c r="E348">
        <v>78.739998</v>
      </c>
      <c r="F348">
        <v>77.532195999999999</v>
      </c>
      <c r="G348">
        <v>135178400</v>
      </c>
      <c r="H348" s="2">
        <f t="shared" si="5"/>
        <v>2.3561145846703546E-2</v>
      </c>
    </row>
    <row r="349" spans="1:8" x14ac:dyDescent="0.35">
      <c r="A349" s="1">
        <v>43970</v>
      </c>
      <c r="B349">
        <v>78.757499999999993</v>
      </c>
      <c r="C349">
        <v>79.629997000000003</v>
      </c>
      <c r="D349">
        <v>78.252502000000007</v>
      </c>
      <c r="E349">
        <v>78.285004000000001</v>
      </c>
      <c r="F349">
        <v>77.084182999999996</v>
      </c>
      <c r="G349">
        <v>101729600</v>
      </c>
      <c r="H349" s="2">
        <f t="shared" si="5"/>
        <v>-5.7784355036432089E-3</v>
      </c>
    </row>
    <row r="350" spans="1:8" x14ac:dyDescent="0.35">
      <c r="A350" s="1">
        <v>43971</v>
      </c>
      <c r="B350">
        <v>79.169998000000007</v>
      </c>
      <c r="C350">
        <v>79.879997000000003</v>
      </c>
      <c r="D350">
        <v>79.129997000000003</v>
      </c>
      <c r="E350">
        <v>79.807502999999997</v>
      </c>
      <c r="F350">
        <v>78.583320999999998</v>
      </c>
      <c r="G350">
        <v>111504800</v>
      </c>
      <c r="H350" s="2">
        <f t="shared" si="5"/>
        <v>1.9448156379988202E-2</v>
      </c>
    </row>
    <row r="351" spans="1:8" x14ac:dyDescent="0.35">
      <c r="A351" s="1">
        <v>43972</v>
      </c>
      <c r="B351">
        <v>79.665001000000004</v>
      </c>
      <c r="C351">
        <v>80.222504000000001</v>
      </c>
      <c r="D351">
        <v>78.967499000000004</v>
      </c>
      <c r="E351">
        <v>79.212502000000001</v>
      </c>
      <c r="F351">
        <v>77.997451999999996</v>
      </c>
      <c r="G351">
        <v>102688800</v>
      </c>
      <c r="H351" s="2">
        <f t="shared" si="5"/>
        <v>-7.4554519015586074E-3</v>
      </c>
    </row>
    <row r="352" spans="1:8" x14ac:dyDescent="0.35">
      <c r="A352" s="1">
        <v>43973</v>
      </c>
      <c r="B352">
        <v>78.942497000000003</v>
      </c>
      <c r="C352">
        <v>79.807502999999997</v>
      </c>
      <c r="D352">
        <v>78.837502000000001</v>
      </c>
      <c r="E352">
        <v>79.722504000000001</v>
      </c>
      <c r="F352">
        <v>78.499640999999997</v>
      </c>
      <c r="G352">
        <v>81803200</v>
      </c>
      <c r="H352" s="2">
        <f t="shared" si="5"/>
        <v>6.4384028672646032E-3</v>
      </c>
    </row>
    <row r="353" spans="1:8" x14ac:dyDescent="0.35">
      <c r="A353" s="1">
        <v>43977</v>
      </c>
      <c r="B353">
        <v>80.875</v>
      </c>
      <c r="C353">
        <v>81.059997999999993</v>
      </c>
      <c r="D353">
        <v>79.125</v>
      </c>
      <c r="E353">
        <v>79.182502999999997</v>
      </c>
      <c r="F353">
        <v>77.967903000000007</v>
      </c>
      <c r="G353">
        <v>125522000</v>
      </c>
      <c r="H353" s="2">
        <f t="shared" si="5"/>
        <v>-6.7735077663892973E-3</v>
      </c>
    </row>
    <row r="354" spans="1:8" x14ac:dyDescent="0.35">
      <c r="A354" s="1">
        <v>43978</v>
      </c>
      <c r="B354">
        <v>79.035004000000001</v>
      </c>
      <c r="C354">
        <v>79.677498</v>
      </c>
      <c r="D354">
        <v>78.272498999999996</v>
      </c>
      <c r="E354">
        <v>79.527495999999999</v>
      </c>
      <c r="F354">
        <v>78.307609999999997</v>
      </c>
      <c r="G354">
        <v>112945200</v>
      </c>
      <c r="H354" s="2">
        <f t="shared" si="5"/>
        <v>4.356934763731779E-3</v>
      </c>
    </row>
    <row r="355" spans="1:8" x14ac:dyDescent="0.35">
      <c r="A355" s="1">
        <v>43979</v>
      </c>
      <c r="B355">
        <v>79.192497000000003</v>
      </c>
      <c r="C355">
        <v>80.860000999999997</v>
      </c>
      <c r="D355">
        <v>78.907500999999996</v>
      </c>
      <c r="E355">
        <v>79.5625</v>
      </c>
      <c r="F355">
        <v>78.342078999999998</v>
      </c>
      <c r="G355">
        <v>133560800</v>
      </c>
      <c r="H355" s="2">
        <f t="shared" si="5"/>
        <v>4.4014965591276933E-4</v>
      </c>
    </row>
    <row r="356" spans="1:8" x14ac:dyDescent="0.35">
      <c r="A356" s="1">
        <v>43980</v>
      </c>
      <c r="B356">
        <v>79.8125</v>
      </c>
      <c r="C356">
        <v>80.287497999999999</v>
      </c>
      <c r="D356">
        <v>79.117500000000007</v>
      </c>
      <c r="E356">
        <v>79.485000999999997</v>
      </c>
      <c r="F356">
        <v>78.265770000000003</v>
      </c>
      <c r="G356">
        <v>153532400</v>
      </c>
      <c r="H356" s="2">
        <f t="shared" si="5"/>
        <v>-9.740644147683275E-4</v>
      </c>
    </row>
    <row r="357" spans="1:8" x14ac:dyDescent="0.35">
      <c r="A357" s="1">
        <v>43983</v>
      </c>
      <c r="B357">
        <v>79.4375</v>
      </c>
      <c r="C357">
        <v>80.587502000000001</v>
      </c>
      <c r="D357">
        <v>79.302498</v>
      </c>
      <c r="E357">
        <v>80.462502000000001</v>
      </c>
      <c r="F357">
        <v>79.228279000000001</v>
      </c>
      <c r="G357">
        <v>80791200</v>
      </c>
      <c r="H357" s="2">
        <f t="shared" si="5"/>
        <v>1.2297930272404445E-2</v>
      </c>
    </row>
    <row r="358" spans="1:8" x14ac:dyDescent="0.35">
      <c r="A358" s="1">
        <v>43984</v>
      </c>
      <c r="B358">
        <v>80.1875</v>
      </c>
      <c r="C358">
        <v>80.860000999999997</v>
      </c>
      <c r="D358">
        <v>79.732498000000007</v>
      </c>
      <c r="E358">
        <v>80.834998999999996</v>
      </c>
      <c r="F358">
        <v>79.595061999999999</v>
      </c>
      <c r="G358">
        <v>87642800</v>
      </c>
      <c r="H358" s="2">
        <f t="shared" si="5"/>
        <v>4.6294483857833857E-3</v>
      </c>
    </row>
    <row r="359" spans="1:8" x14ac:dyDescent="0.35">
      <c r="A359" s="1">
        <v>43985</v>
      </c>
      <c r="B359">
        <v>81.165001000000004</v>
      </c>
      <c r="C359">
        <v>81.550003000000004</v>
      </c>
      <c r="D359">
        <v>80.574996999999996</v>
      </c>
      <c r="E359">
        <v>81.279999000000004</v>
      </c>
      <c r="F359">
        <v>80.033241000000004</v>
      </c>
      <c r="G359">
        <v>104491200</v>
      </c>
      <c r="H359" s="2">
        <f t="shared" si="5"/>
        <v>5.5050412012747074E-3</v>
      </c>
    </row>
    <row r="360" spans="1:8" x14ac:dyDescent="0.35">
      <c r="A360" s="1">
        <v>43986</v>
      </c>
      <c r="B360">
        <v>81.097504000000001</v>
      </c>
      <c r="C360">
        <v>81.404999000000004</v>
      </c>
      <c r="D360">
        <v>80.194999999999993</v>
      </c>
      <c r="E360">
        <v>80.580001999999993</v>
      </c>
      <c r="F360">
        <v>79.343970999999996</v>
      </c>
      <c r="G360">
        <v>87560400</v>
      </c>
      <c r="H360" s="2">
        <f t="shared" si="5"/>
        <v>-8.6121679209175683E-3</v>
      </c>
    </row>
    <row r="361" spans="1:8" x14ac:dyDescent="0.35">
      <c r="A361" s="1">
        <v>43987</v>
      </c>
      <c r="B361">
        <v>80.837502000000001</v>
      </c>
      <c r="C361">
        <v>82.9375</v>
      </c>
      <c r="D361">
        <v>80.807502999999997</v>
      </c>
      <c r="E361">
        <v>82.875</v>
      </c>
      <c r="F361">
        <v>81.603767000000005</v>
      </c>
      <c r="G361">
        <v>137250400</v>
      </c>
      <c r="H361" s="2">
        <f t="shared" si="5"/>
        <v>2.8480987131273672E-2</v>
      </c>
    </row>
    <row r="362" spans="1:8" x14ac:dyDescent="0.35">
      <c r="A362" s="1">
        <v>43990</v>
      </c>
      <c r="B362">
        <v>82.5625</v>
      </c>
      <c r="C362">
        <v>83.400002000000001</v>
      </c>
      <c r="D362">
        <v>81.830001999999993</v>
      </c>
      <c r="E362">
        <v>83.364998</v>
      </c>
      <c r="F362">
        <v>82.086242999999996</v>
      </c>
      <c r="G362">
        <v>95654400</v>
      </c>
      <c r="H362" s="2">
        <f t="shared" si="5"/>
        <v>5.9124947209652223E-3</v>
      </c>
    </row>
    <row r="363" spans="1:8" x14ac:dyDescent="0.35">
      <c r="A363" s="1">
        <v>43991</v>
      </c>
      <c r="B363">
        <v>83.035004000000001</v>
      </c>
      <c r="C363">
        <v>86.402495999999999</v>
      </c>
      <c r="D363">
        <v>83.002502000000007</v>
      </c>
      <c r="E363">
        <v>85.997497999999993</v>
      </c>
      <c r="F363">
        <v>84.678368000000006</v>
      </c>
      <c r="G363">
        <v>147712400</v>
      </c>
      <c r="H363" s="2">
        <f t="shared" si="5"/>
        <v>3.1578001117447352E-2</v>
      </c>
    </row>
    <row r="364" spans="1:8" x14ac:dyDescent="0.35">
      <c r="A364" s="1">
        <v>43992</v>
      </c>
      <c r="B364">
        <v>86.974997999999999</v>
      </c>
      <c r="C364">
        <v>88.692497000000003</v>
      </c>
      <c r="D364">
        <v>86.522498999999996</v>
      </c>
      <c r="E364">
        <v>88.209998999999996</v>
      </c>
      <c r="F364">
        <v>86.856926000000001</v>
      </c>
      <c r="G364">
        <v>166651600</v>
      </c>
      <c r="H364" s="2">
        <f t="shared" si="5"/>
        <v>2.5727504304834614E-2</v>
      </c>
    </row>
    <row r="365" spans="1:8" x14ac:dyDescent="0.35">
      <c r="A365" s="1">
        <v>43993</v>
      </c>
      <c r="B365">
        <v>87.327499000000003</v>
      </c>
      <c r="C365">
        <v>87.764999000000003</v>
      </c>
      <c r="D365">
        <v>83.870002999999997</v>
      </c>
      <c r="E365">
        <v>83.974997999999999</v>
      </c>
      <c r="F365">
        <v>82.686881999999997</v>
      </c>
      <c r="G365">
        <v>201662400</v>
      </c>
      <c r="H365" s="2">
        <f t="shared" si="5"/>
        <v>-4.8010441537359005E-2</v>
      </c>
    </row>
    <row r="366" spans="1:8" x14ac:dyDescent="0.35">
      <c r="A366" s="1">
        <v>43994</v>
      </c>
      <c r="B366">
        <v>86.18</v>
      </c>
      <c r="C366">
        <v>86.949996999999996</v>
      </c>
      <c r="D366">
        <v>83.555000000000007</v>
      </c>
      <c r="E366">
        <v>84.699996999999996</v>
      </c>
      <c r="F366">
        <v>83.400772000000003</v>
      </c>
      <c r="G366">
        <v>200146000</v>
      </c>
      <c r="H366" s="2">
        <f t="shared" si="5"/>
        <v>8.6335101788272972E-3</v>
      </c>
    </row>
    <row r="367" spans="1:8" x14ac:dyDescent="0.35">
      <c r="A367" s="1">
        <v>43997</v>
      </c>
      <c r="B367">
        <v>83.3125</v>
      </c>
      <c r="C367">
        <v>86.419998000000007</v>
      </c>
      <c r="D367">
        <v>83.144997000000004</v>
      </c>
      <c r="E367">
        <v>85.747497999999993</v>
      </c>
      <c r="F367">
        <v>84.432198</v>
      </c>
      <c r="G367">
        <v>138808800</v>
      </c>
      <c r="H367" s="2">
        <f t="shared" si="5"/>
        <v>1.2367190520679694E-2</v>
      </c>
    </row>
    <row r="368" spans="1:8" x14ac:dyDescent="0.35">
      <c r="A368" s="1">
        <v>43998</v>
      </c>
      <c r="B368">
        <v>87.864998</v>
      </c>
      <c r="C368">
        <v>88.300003000000004</v>
      </c>
      <c r="D368">
        <v>86.18</v>
      </c>
      <c r="E368">
        <v>88.019997000000004</v>
      </c>
      <c r="F368">
        <v>86.669846000000007</v>
      </c>
      <c r="G368">
        <v>165428800</v>
      </c>
      <c r="H368" s="2">
        <f t="shared" si="5"/>
        <v>2.6502219341723698E-2</v>
      </c>
    </row>
    <row r="369" spans="1:8" x14ac:dyDescent="0.35">
      <c r="A369" s="1">
        <v>43999</v>
      </c>
      <c r="B369">
        <v>88.787497999999999</v>
      </c>
      <c r="C369">
        <v>88.849997999999999</v>
      </c>
      <c r="D369">
        <v>87.772498999999996</v>
      </c>
      <c r="E369">
        <v>87.897498999999996</v>
      </c>
      <c r="F369">
        <v>86.549239999999998</v>
      </c>
      <c r="G369">
        <v>114406400</v>
      </c>
      <c r="H369" s="2">
        <f t="shared" si="5"/>
        <v>-1.3917064777906329E-3</v>
      </c>
    </row>
    <row r="370" spans="1:8" x14ac:dyDescent="0.35">
      <c r="A370" s="1">
        <v>44000</v>
      </c>
      <c r="B370">
        <v>87.852501000000004</v>
      </c>
      <c r="C370">
        <v>88.362503000000004</v>
      </c>
      <c r="D370">
        <v>87.305000000000007</v>
      </c>
      <c r="E370">
        <v>87.932502999999997</v>
      </c>
      <c r="F370">
        <v>86.583686999999998</v>
      </c>
      <c r="G370">
        <v>96820400</v>
      </c>
      <c r="H370" s="2">
        <f t="shared" si="5"/>
        <v>3.9823658691351405E-4</v>
      </c>
    </row>
    <row r="371" spans="1:8" x14ac:dyDescent="0.35">
      <c r="A371" s="1">
        <v>44001</v>
      </c>
      <c r="B371">
        <v>88.660004000000001</v>
      </c>
      <c r="C371">
        <v>89.139999000000003</v>
      </c>
      <c r="D371">
        <v>86.287497999999999</v>
      </c>
      <c r="E371">
        <v>87.43</v>
      </c>
      <c r="F371">
        <v>86.088898</v>
      </c>
      <c r="G371">
        <v>264476000</v>
      </c>
      <c r="H371" s="2">
        <f t="shared" si="5"/>
        <v>-5.7146445609536078E-3</v>
      </c>
    </row>
    <row r="372" spans="1:8" x14ac:dyDescent="0.35">
      <c r="A372" s="1">
        <v>44004</v>
      </c>
      <c r="B372">
        <v>87.834998999999996</v>
      </c>
      <c r="C372">
        <v>89.864998</v>
      </c>
      <c r="D372">
        <v>87.787497999999999</v>
      </c>
      <c r="E372">
        <v>89.717499000000004</v>
      </c>
      <c r="F372">
        <v>88.341308999999995</v>
      </c>
      <c r="G372">
        <v>135445200</v>
      </c>
      <c r="H372" s="2">
        <f t="shared" si="5"/>
        <v>2.616377673567416E-2</v>
      </c>
    </row>
    <row r="373" spans="1:8" x14ac:dyDescent="0.35">
      <c r="A373" s="1">
        <v>44005</v>
      </c>
      <c r="B373">
        <v>91</v>
      </c>
      <c r="C373">
        <v>93.095000999999996</v>
      </c>
      <c r="D373">
        <v>90.567497000000003</v>
      </c>
      <c r="E373">
        <v>91.632499999999993</v>
      </c>
      <c r="F373">
        <v>90.226935999999995</v>
      </c>
      <c r="G373">
        <v>212155600</v>
      </c>
      <c r="H373" s="2">
        <f t="shared" si="5"/>
        <v>2.1344788044080243E-2</v>
      </c>
    </row>
    <row r="374" spans="1:8" x14ac:dyDescent="0.35">
      <c r="A374" s="1">
        <v>44006</v>
      </c>
      <c r="B374">
        <v>91.25</v>
      </c>
      <c r="C374">
        <v>92.197502</v>
      </c>
      <c r="D374">
        <v>89.629997000000003</v>
      </c>
      <c r="E374">
        <v>90.014999000000003</v>
      </c>
      <c r="F374">
        <v>88.634247000000002</v>
      </c>
      <c r="G374">
        <v>192623200</v>
      </c>
      <c r="H374" s="2">
        <f t="shared" si="5"/>
        <v>-1.7652044853081472E-2</v>
      </c>
    </row>
    <row r="375" spans="1:8" x14ac:dyDescent="0.35">
      <c r="A375" s="1">
        <v>44007</v>
      </c>
      <c r="B375">
        <v>90.175003000000004</v>
      </c>
      <c r="C375">
        <v>91.25</v>
      </c>
      <c r="D375">
        <v>89.392501999999993</v>
      </c>
      <c r="E375">
        <v>91.209998999999996</v>
      </c>
      <c r="F375">
        <v>89.810905000000005</v>
      </c>
      <c r="G375">
        <v>137522400</v>
      </c>
      <c r="H375" s="2">
        <f t="shared" si="5"/>
        <v>1.3275565331062111E-2</v>
      </c>
    </row>
    <row r="376" spans="1:8" x14ac:dyDescent="0.35">
      <c r="A376" s="1">
        <v>44008</v>
      </c>
      <c r="B376">
        <v>91.102501000000004</v>
      </c>
      <c r="C376">
        <v>91.330001999999993</v>
      </c>
      <c r="D376">
        <v>88.254997000000003</v>
      </c>
      <c r="E376">
        <v>88.407500999999996</v>
      </c>
      <c r="F376">
        <v>87.051392000000007</v>
      </c>
      <c r="G376">
        <v>205256800</v>
      </c>
      <c r="H376" s="2">
        <f t="shared" si="5"/>
        <v>-3.0725776019359441E-2</v>
      </c>
    </row>
    <row r="377" spans="1:8" x14ac:dyDescent="0.35">
      <c r="A377" s="1">
        <v>44011</v>
      </c>
      <c r="B377">
        <v>88.3125</v>
      </c>
      <c r="C377">
        <v>90.542502999999996</v>
      </c>
      <c r="D377">
        <v>87.82</v>
      </c>
      <c r="E377">
        <v>90.444999999999993</v>
      </c>
      <c r="F377">
        <v>89.057648</v>
      </c>
      <c r="G377">
        <v>130646000</v>
      </c>
      <c r="H377" s="2">
        <f t="shared" si="5"/>
        <v>2.304667564350682E-2</v>
      </c>
    </row>
    <row r="378" spans="1:8" x14ac:dyDescent="0.35">
      <c r="A378" s="1">
        <v>44012</v>
      </c>
      <c r="B378">
        <v>90.019997000000004</v>
      </c>
      <c r="C378">
        <v>91.495002999999997</v>
      </c>
      <c r="D378">
        <v>90</v>
      </c>
      <c r="E378">
        <v>91.199996999999996</v>
      </c>
      <c r="F378">
        <v>89.801079000000001</v>
      </c>
      <c r="G378">
        <v>140223200</v>
      </c>
      <c r="H378" s="2">
        <f t="shared" si="5"/>
        <v>8.3475814030626871E-3</v>
      </c>
    </row>
    <row r="379" spans="1:8" x14ac:dyDescent="0.35">
      <c r="A379" s="1">
        <v>44013</v>
      </c>
      <c r="B379">
        <v>91.279999000000004</v>
      </c>
      <c r="C379">
        <v>91.839995999999999</v>
      </c>
      <c r="D379">
        <v>90.977501000000004</v>
      </c>
      <c r="E379">
        <v>91.027495999999999</v>
      </c>
      <c r="F379">
        <v>89.631209999999996</v>
      </c>
      <c r="G379">
        <v>110737200</v>
      </c>
      <c r="H379" s="2">
        <f t="shared" si="5"/>
        <v>-1.8914583955522701E-3</v>
      </c>
    </row>
    <row r="380" spans="1:8" x14ac:dyDescent="0.35">
      <c r="A380" s="1">
        <v>44014</v>
      </c>
      <c r="B380">
        <v>91.962502000000001</v>
      </c>
      <c r="C380">
        <v>92.617500000000007</v>
      </c>
      <c r="D380">
        <v>90.910004000000001</v>
      </c>
      <c r="E380">
        <v>91.027495999999999</v>
      </c>
      <c r="F380">
        <v>89.631209999999996</v>
      </c>
      <c r="G380">
        <v>114041600</v>
      </c>
      <c r="H380" s="2">
        <f t="shared" si="5"/>
        <v>0</v>
      </c>
    </row>
    <row r="381" spans="1:8" x14ac:dyDescent="0.35">
      <c r="A381" s="1">
        <v>44018</v>
      </c>
      <c r="B381">
        <v>92.5</v>
      </c>
      <c r="C381">
        <v>93.944999999999993</v>
      </c>
      <c r="D381">
        <v>92.467499000000004</v>
      </c>
      <c r="E381">
        <v>93.462502000000001</v>
      </c>
      <c r="F381">
        <v>92.028862000000004</v>
      </c>
      <c r="G381">
        <v>118655600</v>
      </c>
      <c r="H381" s="2">
        <f t="shared" si="5"/>
        <v>2.6750225008935757E-2</v>
      </c>
    </row>
    <row r="382" spans="1:8" x14ac:dyDescent="0.35">
      <c r="A382" s="1">
        <v>44019</v>
      </c>
      <c r="B382">
        <v>93.852501000000004</v>
      </c>
      <c r="C382">
        <v>94.654999000000004</v>
      </c>
      <c r="D382">
        <v>93.057502999999997</v>
      </c>
      <c r="E382">
        <v>93.172500999999997</v>
      </c>
      <c r="F382">
        <v>91.743317000000005</v>
      </c>
      <c r="G382">
        <v>112424400</v>
      </c>
      <c r="H382" s="2">
        <f t="shared" si="5"/>
        <v>-3.1028593692046247E-3</v>
      </c>
    </row>
    <row r="383" spans="1:8" x14ac:dyDescent="0.35">
      <c r="A383" s="1">
        <v>44020</v>
      </c>
      <c r="B383">
        <v>94.18</v>
      </c>
      <c r="C383">
        <v>95.375</v>
      </c>
      <c r="D383">
        <v>94.089995999999999</v>
      </c>
      <c r="E383">
        <v>95.342499000000004</v>
      </c>
      <c r="F383">
        <v>93.880027999999996</v>
      </c>
      <c r="G383">
        <v>117092000</v>
      </c>
      <c r="H383" s="2">
        <f t="shared" si="5"/>
        <v>2.3290112175909039E-2</v>
      </c>
    </row>
    <row r="384" spans="1:8" x14ac:dyDescent="0.35">
      <c r="A384" s="1">
        <v>44021</v>
      </c>
      <c r="B384">
        <v>96.262496999999996</v>
      </c>
      <c r="C384">
        <v>96.317497000000003</v>
      </c>
      <c r="D384">
        <v>94.672500999999997</v>
      </c>
      <c r="E384">
        <v>95.752502000000007</v>
      </c>
      <c r="F384">
        <v>94.283730000000006</v>
      </c>
      <c r="G384">
        <v>125642800</v>
      </c>
      <c r="H384" s="2">
        <f t="shared" si="5"/>
        <v>4.3003173222888602E-3</v>
      </c>
    </row>
    <row r="385" spans="1:8" x14ac:dyDescent="0.35">
      <c r="A385" s="1">
        <v>44022</v>
      </c>
      <c r="B385">
        <v>95.334998999999996</v>
      </c>
      <c r="C385">
        <v>95.980002999999996</v>
      </c>
      <c r="D385">
        <v>94.705001999999993</v>
      </c>
      <c r="E385">
        <v>95.919998000000007</v>
      </c>
      <c r="F385">
        <v>94.448654000000005</v>
      </c>
      <c r="G385">
        <v>90257200</v>
      </c>
      <c r="H385" s="2">
        <f t="shared" si="5"/>
        <v>1.7492597739117155E-3</v>
      </c>
    </row>
    <row r="386" spans="1:8" x14ac:dyDescent="0.35">
      <c r="A386" s="1">
        <v>44025</v>
      </c>
      <c r="B386">
        <v>97.264999000000003</v>
      </c>
      <c r="C386">
        <v>99.955001999999993</v>
      </c>
      <c r="D386">
        <v>95.257499999999993</v>
      </c>
      <c r="E386">
        <v>95.477501000000004</v>
      </c>
      <c r="F386">
        <v>94.012946999999997</v>
      </c>
      <c r="G386">
        <v>191649200</v>
      </c>
      <c r="H386" s="2">
        <f t="shared" si="5"/>
        <v>-4.6131881695827825E-3</v>
      </c>
    </row>
    <row r="387" spans="1:8" x14ac:dyDescent="0.35">
      <c r="A387" s="1">
        <v>44026</v>
      </c>
      <c r="B387">
        <v>94.839995999999999</v>
      </c>
      <c r="C387">
        <v>97.254997000000003</v>
      </c>
      <c r="D387">
        <v>93.877502000000007</v>
      </c>
      <c r="E387">
        <v>97.057502999999997</v>
      </c>
      <c r="F387">
        <v>95.568732999999995</v>
      </c>
      <c r="G387">
        <v>170989200</v>
      </c>
      <c r="H387" s="2">
        <f t="shared" si="5"/>
        <v>1.6548422229861082E-2</v>
      </c>
    </row>
    <row r="388" spans="1:8" x14ac:dyDescent="0.35">
      <c r="A388" s="1">
        <v>44027</v>
      </c>
      <c r="B388">
        <v>98.989998</v>
      </c>
      <c r="C388">
        <v>99.247497999999993</v>
      </c>
      <c r="D388">
        <v>96.489998</v>
      </c>
      <c r="E388">
        <v>97.724997999999999</v>
      </c>
      <c r="F388">
        <v>96.225982999999999</v>
      </c>
      <c r="G388">
        <v>153198000</v>
      </c>
      <c r="H388" s="2">
        <f t="shared" ref="H388:H451" si="6">E388/E387-1</f>
        <v>6.8773147811149737E-3</v>
      </c>
    </row>
    <row r="389" spans="1:8" x14ac:dyDescent="0.35">
      <c r="A389" s="1">
        <v>44028</v>
      </c>
      <c r="B389">
        <v>96.5625</v>
      </c>
      <c r="C389">
        <v>97.404999000000004</v>
      </c>
      <c r="D389">
        <v>95.904999000000004</v>
      </c>
      <c r="E389">
        <v>96.522498999999996</v>
      </c>
      <c r="F389">
        <v>95.041923999999995</v>
      </c>
      <c r="G389">
        <v>110577600</v>
      </c>
      <c r="H389" s="2">
        <f t="shared" si="6"/>
        <v>-1.2304927343155359E-2</v>
      </c>
    </row>
    <row r="390" spans="1:8" x14ac:dyDescent="0.35">
      <c r="A390" s="1">
        <v>44029</v>
      </c>
      <c r="B390">
        <v>96.987503000000004</v>
      </c>
      <c r="C390">
        <v>97.147498999999996</v>
      </c>
      <c r="D390">
        <v>95.839995999999999</v>
      </c>
      <c r="E390">
        <v>96.327499000000003</v>
      </c>
      <c r="F390">
        <v>94.849922000000007</v>
      </c>
      <c r="G390">
        <v>92186800</v>
      </c>
      <c r="H390" s="2">
        <f t="shared" si="6"/>
        <v>-2.0202543657722449E-3</v>
      </c>
    </row>
    <row r="391" spans="1:8" x14ac:dyDescent="0.35">
      <c r="A391" s="1">
        <v>44032</v>
      </c>
      <c r="B391">
        <v>96.417502999999996</v>
      </c>
      <c r="C391">
        <v>98.5</v>
      </c>
      <c r="D391">
        <v>96.0625</v>
      </c>
      <c r="E391">
        <v>98.357498000000007</v>
      </c>
      <c r="F391">
        <v>96.848770000000002</v>
      </c>
      <c r="G391">
        <v>90318000</v>
      </c>
      <c r="H391" s="2">
        <f t="shared" si="6"/>
        <v>2.1073930301045207E-2</v>
      </c>
    </row>
    <row r="392" spans="1:8" x14ac:dyDescent="0.35">
      <c r="A392" s="1">
        <v>44033</v>
      </c>
      <c r="B392">
        <v>99.172500999999997</v>
      </c>
      <c r="C392">
        <v>99.25</v>
      </c>
      <c r="D392">
        <v>96.742500000000007</v>
      </c>
      <c r="E392">
        <v>97</v>
      </c>
      <c r="F392">
        <v>95.512092999999993</v>
      </c>
      <c r="G392">
        <v>103433200</v>
      </c>
      <c r="H392" s="2">
        <f t="shared" si="6"/>
        <v>-1.3801672750968219E-2</v>
      </c>
    </row>
    <row r="393" spans="1:8" x14ac:dyDescent="0.35">
      <c r="A393" s="1">
        <v>44034</v>
      </c>
      <c r="B393">
        <v>96.692497000000003</v>
      </c>
      <c r="C393">
        <v>97.974997999999999</v>
      </c>
      <c r="D393">
        <v>96.602501000000004</v>
      </c>
      <c r="E393">
        <v>97.272498999999996</v>
      </c>
      <c r="F393">
        <v>95.780417999999997</v>
      </c>
      <c r="G393">
        <v>89001600</v>
      </c>
      <c r="H393" s="2">
        <f t="shared" si="6"/>
        <v>2.8092680412370452E-3</v>
      </c>
    </row>
    <row r="394" spans="1:8" x14ac:dyDescent="0.35">
      <c r="A394" s="1">
        <v>44035</v>
      </c>
      <c r="B394">
        <v>96.997497999999993</v>
      </c>
      <c r="C394">
        <v>97.077499000000003</v>
      </c>
      <c r="D394">
        <v>92.010002</v>
      </c>
      <c r="E394">
        <v>92.845000999999996</v>
      </c>
      <c r="F394">
        <v>91.420837000000006</v>
      </c>
      <c r="G394">
        <v>197004400</v>
      </c>
      <c r="H394" s="2">
        <f t="shared" si="6"/>
        <v>-4.5516441394190976E-2</v>
      </c>
    </row>
    <row r="395" spans="1:8" x14ac:dyDescent="0.35">
      <c r="A395" s="1">
        <v>44036</v>
      </c>
      <c r="B395">
        <v>90.987503000000004</v>
      </c>
      <c r="C395">
        <v>92.970000999999996</v>
      </c>
      <c r="D395">
        <v>89.144997000000004</v>
      </c>
      <c r="E395">
        <v>92.614998</v>
      </c>
      <c r="F395">
        <v>91.194359000000006</v>
      </c>
      <c r="G395">
        <v>185438800</v>
      </c>
      <c r="H395" s="2">
        <f t="shared" si="6"/>
        <v>-2.4772793098466472E-3</v>
      </c>
    </row>
    <row r="396" spans="1:8" x14ac:dyDescent="0.35">
      <c r="A396" s="1">
        <v>44039</v>
      </c>
      <c r="B396">
        <v>93.709998999999996</v>
      </c>
      <c r="C396">
        <v>94.904999000000004</v>
      </c>
      <c r="D396">
        <v>93.480002999999996</v>
      </c>
      <c r="E396">
        <v>94.809997999999993</v>
      </c>
      <c r="F396">
        <v>93.355675000000005</v>
      </c>
      <c r="G396">
        <v>121214000</v>
      </c>
      <c r="H396" s="2">
        <f t="shared" si="6"/>
        <v>2.3700265047783997E-2</v>
      </c>
    </row>
    <row r="397" spans="1:8" x14ac:dyDescent="0.35">
      <c r="A397" s="1">
        <v>44040</v>
      </c>
      <c r="B397">
        <v>94.367500000000007</v>
      </c>
      <c r="C397">
        <v>94.550003000000004</v>
      </c>
      <c r="D397">
        <v>93.247497999999993</v>
      </c>
      <c r="E397">
        <v>93.252502000000007</v>
      </c>
      <c r="F397">
        <v>91.822083000000006</v>
      </c>
      <c r="G397">
        <v>103625600</v>
      </c>
      <c r="H397" s="2">
        <f t="shared" si="6"/>
        <v>-1.6427550183051198E-2</v>
      </c>
    </row>
    <row r="398" spans="1:8" x14ac:dyDescent="0.35">
      <c r="A398" s="1">
        <v>44041</v>
      </c>
      <c r="B398">
        <v>93.75</v>
      </c>
      <c r="C398">
        <v>95.230002999999996</v>
      </c>
      <c r="D398">
        <v>93.712502000000001</v>
      </c>
      <c r="E398">
        <v>95.040001000000004</v>
      </c>
      <c r="F398">
        <v>93.582168999999993</v>
      </c>
      <c r="G398">
        <v>90329200</v>
      </c>
      <c r="H398" s="2">
        <f t="shared" si="6"/>
        <v>1.9168375771837054E-2</v>
      </c>
    </row>
    <row r="399" spans="1:8" x14ac:dyDescent="0.35">
      <c r="A399" s="1">
        <v>44042</v>
      </c>
      <c r="B399">
        <v>94.1875</v>
      </c>
      <c r="C399">
        <v>96.297500999999997</v>
      </c>
      <c r="D399">
        <v>93.767501999999993</v>
      </c>
      <c r="E399">
        <v>96.190002000000007</v>
      </c>
      <c r="F399">
        <v>94.714530999999994</v>
      </c>
      <c r="G399">
        <v>158130000</v>
      </c>
      <c r="H399" s="2">
        <f t="shared" si="6"/>
        <v>1.2100178744737233E-2</v>
      </c>
    </row>
    <row r="400" spans="1:8" x14ac:dyDescent="0.35">
      <c r="A400" s="1">
        <v>44043</v>
      </c>
      <c r="B400">
        <v>102.885002</v>
      </c>
      <c r="C400">
        <v>106.415001</v>
      </c>
      <c r="D400">
        <v>100.824997</v>
      </c>
      <c r="E400">
        <v>106.260002</v>
      </c>
      <c r="F400">
        <v>104.630066</v>
      </c>
      <c r="G400">
        <v>374336800</v>
      </c>
      <c r="H400" s="2">
        <f t="shared" si="6"/>
        <v>0.10468863489575542</v>
      </c>
    </row>
    <row r="401" spans="1:8" x14ac:dyDescent="0.35">
      <c r="A401" s="1">
        <v>44046</v>
      </c>
      <c r="B401">
        <v>108.199997</v>
      </c>
      <c r="C401">
        <v>111.637497</v>
      </c>
      <c r="D401">
        <v>107.89250199999999</v>
      </c>
      <c r="E401">
        <v>108.9375</v>
      </c>
      <c r="F401">
        <v>107.266502</v>
      </c>
      <c r="G401">
        <v>308151200</v>
      </c>
      <c r="H401" s="2">
        <f t="shared" si="6"/>
        <v>2.5197609162476819E-2</v>
      </c>
    </row>
    <row r="402" spans="1:8" x14ac:dyDescent="0.35">
      <c r="A402" s="1">
        <v>44047</v>
      </c>
      <c r="B402">
        <v>109.13249999999999</v>
      </c>
      <c r="C402">
        <v>110.790001</v>
      </c>
      <c r="D402">
        <v>108.387497</v>
      </c>
      <c r="E402">
        <v>109.665001</v>
      </c>
      <c r="F402">
        <v>107.982834</v>
      </c>
      <c r="G402">
        <v>173071600</v>
      </c>
      <c r="H402" s="2">
        <f t="shared" si="6"/>
        <v>6.6781503155479705E-3</v>
      </c>
    </row>
    <row r="403" spans="1:8" x14ac:dyDescent="0.35">
      <c r="A403" s="1">
        <v>44048</v>
      </c>
      <c r="B403">
        <v>109.37750200000001</v>
      </c>
      <c r="C403">
        <v>110.39250199999999</v>
      </c>
      <c r="D403">
        <v>108.897499</v>
      </c>
      <c r="E403">
        <v>110.0625</v>
      </c>
      <c r="F403">
        <v>108.374245</v>
      </c>
      <c r="G403">
        <v>121776800</v>
      </c>
      <c r="H403" s="2">
        <f t="shared" si="6"/>
        <v>3.6246659953069749E-3</v>
      </c>
    </row>
    <row r="404" spans="1:8" x14ac:dyDescent="0.35">
      <c r="A404" s="1">
        <v>44049</v>
      </c>
      <c r="B404">
        <v>110.404999</v>
      </c>
      <c r="C404">
        <v>114.412498</v>
      </c>
      <c r="D404">
        <v>109.797501</v>
      </c>
      <c r="E404">
        <v>113.902496</v>
      </c>
      <c r="F404">
        <v>112.155327</v>
      </c>
      <c r="G404">
        <v>202428800</v>
      </c>
      <c r="H404" s="2">
        <f t="shared" si="6"/>
        <v>3.4889231118682584E-2</v>
      </c>
    </row>
    <row r="405" spans="1:8" x14ac:dyDescent="0.35">
      <c r="A405" s="1">
        <v>44050</v>
      </c>
      <c r="B405">
        <v>113.20500199999999</v>
      </c>
      <c r="C405">
        <v>113.675003</v>
      </c>
      <c r="D405">
        <v>110.292503</v>
      </c>
      <c r="E405">
        <v>111.112503</v>
      </c>
      <c r="F405">
        <v>109.6054</v>
      </c>
      <c r="G405">
        <v>198045600</v>
      </c>
      <c r="H405" s="2">
        <f t="shared" si="6"/>
        <v>-2.4494572972307838E-2</v>
      </c>
    </row>
    <row r="406" spans="1:8" x14ac:dyDescent="0.35">
      <c r="A406" s="1">
        <v>44053</v>
      </c>
      <c r="B406">
        <v>112.599998</v>
      </c>
      <c r="C406">
        <v>113.775002</v>
      </c>
      <c r="D406">
        <v>110</v>
      </c>
      <c r="E406">
        <v>112.727501</v>
      </c>
      <c r="F406">
        <v>111.198486</v>
      </c>
      <c r="G406">
        <v>212403600</v>
      </c>
      <c r="H406" s="2">
        <f t="shared" si="6"/>
        <v>1.4534799922561348E-2</v>
      </c>
    </row>
    <row r="407" spans="1:8" x14ac:dyDescent="0.35">
      <c r="A407" s="1">
        <v>44054</v>
      </c>
      <c r="B407">
        <v>111.970001</v>
      </c>
      <c r="C407">
        <v>112.48249800000001</v>
      </c>
      <c r="D407">
        <v>109.10749800000001</v>
      </c>
      <c r="E407">
        <v>109.375</v>
      </c>
      <c r="F407">
        <v>107.89147199999999</v>
      </c>
      <c r="G407">
        <v>187902400</v>
      </c>
      <c r="H407" s="2">
        <f t="shared" si="6"/>
        <v>-2.9739868002573777E-2</v>
      </c>
    </row>
    <row r="408" spans="1:8" x14ac:dyDescent="0.35">
      <c r="A408" s="1">
        <v>44055</v>
      </c>
      <c r="B408">
        <v>110.49749799999999</v>
      </c>
      <c r="C408">
        <v>113.275002</v>
      </c>
      <c r="D408">
        <v>110.297501</v>
      </c>
      <c r="E408">
        <v>113.010002</v>
      </c>
      <c r="F408">
        <v>111.477158</v>
      </c>
      <c r="G408">
        <v>165598000</v>
      </c>
      <c r="H408" s="2">
        <f t="shared" si="6"/>
        <v>3.3234304000000048E-2</v>
      </c>
    </row>
    <row r="409" spans="1:8" x14ac:dyDescent="0.35">
      <c r="A409" s="1">
        <v>44056</v>
      </c>
      <c r="B409">
        <v>114.43</v>
      </c>
      <c r="C409">
        <v>116.042503</v>
      </c>
      <c r="D409">
        <v>113.927498</v>
      </c>
      <c r="E409">
        <v>115.010002</v>
      </c>
      <c r="F409">
        <v>113.45001999999999</v>
      </c>
      <c r="G409">
        <v>210082000</v>
      </c>
      <c r="H409" s="2">
        <f t="shared" si="6"/>
        <v>1.769754857627559E-2</v>
      </c>
    </row>
    <row r="410" spans="1:8" x14ac:dyDescent="0.35">
      <c r="A410" s="1">
        <v>44057</v>
      </c>
      <c r="B410">
        <v>114.83000199999999</v>
      </c>
      <c r="C410">
        <v>115</v>
      </c>
      <c r="D410">
        <v>113.04499800000001</v>
      </c>
      <c r="E410">
        <v>114.907501</v>
      </c>
      <c r="F410">
        <v>113.348923</v>
      </c>
      <c r="G410">
        <v>165565200</v>
      </c>
      <c r="H410" s="2">
        <f t="shared" si="6"/>
        <v>-8.9123552923686677E-4</v>
      </c>
    </row>
    <row r="411" spans="1:8" x14ac:dyDescent="0.35">
      <c r="A411" s="1">
        <v>44060</v>
      </c>
      <c r="B411">
        <v>116.0625</v>
      </c>
      <c r="C411">
        <v>116.087502</v>
      </c>
      <c r="D411">
        <v>113.962502</v>
      </c>
      <c r="E411">
        <v>114.60749800000001</v>
      </c>
      <c r="F411">
        <v>113.05297899999999</v>
      </c>
      <c r="G411">
        <v>119561600</v>
      </c>
      <c r="H411" s="2">
        <f t="shared" si="6"/>
        <v>-2.6108217252065469E-3</v>
      </c>
    </row>
    <row r="412" spans="1:8" x14ac:dyDescent="0.35">
      <c r="A412" s="1">
        <v>44061</v>
      </c>
      <c r="B412">
        <v>114.352501</v>
      </c>
      <c r="C412">
        <v>116</v>
      </c>
      <c r="D412">
        <v>114.00749999999999</v>
      </c>
      <c r="E412">
        <v>115.5625</v>
      </c>
      <c r="F412">
        <v>113.99503300000001</v>
      </c>
      <c r="G412">
        <v>105633600</v>
      </c>
      <c r="H412" s="2">
        <f t="shared" si="6"/>
        <v>8.3328055900844245E-3</v>
      </c>
    </row>
    <row r="413" spans="1:8" x14ac:dyDescent="0.35">
      <c r="A413" s="1">
        <v>44062</v>
      </c>
      <c r="B413">
        <v>115.98249800000001</v>
      </c>
      <c r="C413">
        <v>117.162498</v>
      </c>
      <c r="D413">
        <v>115.610001</v>
      </c>
      <c r="E413">
        <v>115.707497</v>
      </c>
      <c r="F413">
        <v>114.13806200000001</v>
      </c>
      <c r="G413">
        <v>145538000</v>
      </c>
      <c r="H413" s="2">
        <f t="shared" si="6"/>
        <v>1.2547063277448256E-3</v>
      </c>
    </row>
    <row r="414" spans="1:8" x14ac:dyDescent="0.35">
      <c r="A414" s="1">
        <v>44063</v>
      </c>
      <c r="B414">
        <v>115.75</v>
      </c>
      <c r="C414">
        <v>118.39250199999999</v>
      </c>
      <c r="D414">
        <v>115.73249800000001</v>
      </c>
      <c r="E414">
        <v>118.275002</v>
      </c>
      <c r="F414">
        <v>116.67074599999999</v>
      </c>
      <c r="G414">
        <v>126907200</v>
      </c>
      <c r="H414" s="2">
        <f t="shared" si="6"/>
        <v>2.2189616633051745E-2</v>
      </c>
    </row>
    <row r="415" spans="1:8" x14ac:dyDescent="0.35">
      <c r="A415" s="1">
        <v>44064</v>
      </c>
      <c r="B415">
        <v>119.262497</v>
      </c>
      <c r="C415">
        <v>124.86750000000001</v>
      </c>
      <c r="D415">
        <v>119.25</v>
      </c>
      <c r="E415">
        <v>124.370003</v>
      </c>
      <c r="F415">
        <v>122.683075</v>
      </c>
      <c r="G415">
        <v>338054800</v>
      </c>
      <c r="H415" s="2">
        <f t="shared" si="6"/>
        <v>5.1532453155232139E-2</v>
      </c>
    </row>
    <row r="416" spans="1:8" x14ac:dyDescent="0.35">
      <c r="A416" s="1">
        <v>44067</v>
      </c>
      <c r="B416">
        <v>128.697495</v>
      </c>
      <c r="C416">
        <v>128.78500399999999</v>
      </c>
      <c r="D416">
        <v>123.9375</v>
      </c>
      <c r="E416">
        <v>125.85749800000001</v>
      </c>
      <c r="F416">
        <v>124.150398</v>
      </c>
      <c r="G416">
        <v>345937600</v>
      </c>
      <c r="H416" s="2">
        <f t="shared" si="6"/>
        <v>1.1960239319122712E-2</v>
      </c>
    </row>
    <row r="417" spans="1:8" x14ac:dyDescent="0.35">
      <c r="A417" s="1">
        <v>44068</v>
      </c>
      <c r="B417">
        <v>124.697502</v>
      </c>
      <c r="C417">
        <v>125.18</v>
      </c>
      <c r="D417">
        <v>123.052498</v>
      </c>
      <c r="E417">
        <v>124.824997</v>
      </c>
      <c r="F417">
        <v>123.131897</v>
      </c>
      <c r="G417">
        <v>211495600</v>
      </c>
      <c r="H417" s="2">
        <f t="shared" si="6"/>
        <v>-8.2037305397570925E-3</v>
      </c>
    </row>
    <row r="418" spans="1:8" x14ac:dyDescent="0.35">
      <c r="A418" s="1">
        <v>44069</v>
      </c>
      <c r="B418">
        <v>126.18</v>
      </c>
      <c r="C418">
        <v>126.99250000000001</v>
      </c>
      <c r="D418">
        <v>125.082497</v>
      </c>
      <c r="E418">
        <v>126.522499</v>
      </c>
      <c r="F418">
        <v>124.80637400000001</v>
      </c>
      <c r="G418">
        <v>163022400</v>
      </c>
      <c r="H418" s="2">
        <f t="shared" si="6"/>
        <v>1.3599055003381988E-2</v>
      </c>
    </row>
    <row r="419" spans="1:8" x14ac:dyDescent="0.35">
      <c r="A419" s="1">
        <v>44070</v>
      </c>
      <c r="B419">
        <v>127.14250199999999</v>
      </c>
      <c r="C419">
        <v>127.485001</v>
      </c>
      <c r="D419">
        <v>123.832497</v>
      </c>
      <c r="E419">
        <v>125.010002</v>
      </c>
      <c r="F419">
        <v>123.314392</v>
      </c>
      <c r="G419">
        <v>155552400</v>
      </c>
      <c r="H419" s="2">
        <f t="shared" si="6"/>
        <v>-1.1954371846544021E-2</v>
      </c>
    </row>
    <row r="420" spans="1:8" x14ac:dyDescent="0.35">
      <c r="A420" s="1">
        <v>44071</v>
      </c>
      <c r="B420">
        <v>126.012497</v>
      </c>
      <c r="C420">
        <v>126.442497</v>
      </c>
      <c r="D420">
        <v>124.577499</v>
      </c>
      <c r="E420">
        <v>124.807503</v>
      </c>
      <c r="F420">
        <v>123.114639</v>
      </c>
      <c r="G420">
        <v>187630000</v>
      </c>
      <c r="H420" s="2">
        <f t="shared" si="6"/>
        <v>-1.6198623850913751E-3</v>
      </c>
    </row>
    <row r="421" spans="1:8" x14ac:dyDescent="0.35">
      <c r="A421" s="1">
        <v>44074</v>
      </c>
      <c r="B421">
        <v>127.58000199999999</v>
      </c>
      <c r="C421">
        <v>131</v>
      </c>
      <c r="D421">
        <v>126</v>
      </c>
      <c r="E421">
        <v>129.03999300000001</v>
      </c>
      <c r="F421">
        <v>127.289726</v>
      </c>
      <c r="G421">
        <v>225702700</v>
      </c>
      <c r="H421" s="2">
        <f t="shared" si="6"/>
        <v>3.39121438876957E-2</v>
      </c>
    </row>
    <row r="422" spans="1:8" x14ac:dyDescent="0.35">
      <c r="A422" s="1">
        <v>44075</v>
      </c>
      <c r="B422">
        <v>132.759995</v>
      </c>
      <c r="C422">
        <v>134.800003</v>
      </c>
      <c r="D422">
        <v>130.529999</v>
      </c>
      <c r="E422">
        <v>134.179993</v>
      </c>
      <c r="F422">
        <v>132.35998499999999</v>
      </c>
      <c r="G422">
        <v>151948100</v>
      </c>
      <c r="H422" s="2">
        <f t="shared" si="6"/>
        <v>3.9832612204186768E-2</v>
      </c>
    </row>
    <row r="423" spans="1:8" x14ac:dyDescent="0.35">
      <c r="A423" s="1">
        <v>44076</v>
      </c>
      <c r="B423">
        <v>137.58999600000001</v>
      </c>
      <c r="C423">
        <v>137.979996</v>
      </c>
      <c r="D423">
        <v>127</v>
      </c>
      <c r="E423">
        <v>131.39999399999999</v>
      </c>
      <c r="F423">
        <v>129.617706</v>
      </c>
      <c r="G423">
        <v>200119000</v>
      </c>
      <c r="H423" s="2">
        <f t="shared" si="6"/>
        <v>-2.0718431547391725E-2</v>
      </c>
    </row>
    <row r="424" spans="1:8" x14ac:dyDescent="0.35">
      <c r="A424" s="1">
        <v>44077</v>
      </c>
      <c r="B424">
        <v>126.910004</v>
      </c>
      <c r="C424">
        <v>128.83999600000001</v>
      </c>
      <c r="D424">
        <v>120.5</v>
      </c>
      <c r="E424">
        <v>120.879997</v>
      </c>
      <c r="F424">
        <v>119.240402</v>
      </c>
      <c r="G424">
        <v>257599600</v>
      </c>
      <c r="H424" s="2">
        <f t="shared" si="6"/>
        <v>-8.0060863625305734E-2</v>
      </c>
    </row>
    <row r="425" spans="1:8" x14ac:dyDescent="0.35">
      <c r="A425" s="1">
        <v>44078</v>
      </c>
      <c r="B425">
        <v>120.07</v>
      </c>
      <c r="C425">
        <v>123.699997</v>
      </c>
      <c r="D425">
        <v>110.889999</v>
      </c>
      <c r="E425">
        <v>120.959999</v>
      </c>
      <c r="F425">
        <v>119.319321</v>
      </c>
      <c r="G425">
        <v>332607200</v>
      </c>
      <c r="H425" s="2">
        <f t="shared" si="6"/>
        <v>6.6182993038954585E-4</v>
      </c>
    </row>
    <row r="426" spans="1:8" x14ac:dyDescent="0.35">
      <c r="A426" s="1">
        <v>44082</v>
      </c>
      <c r="B426">
        <v>113.949997</v>
      </c>
      <c r="C426">
        <v>118.989998</v>
      </c>
      <c r="D426">
        <v>112.68</v>
      </c>
      <c r="E426">
        <v>112.82</v>
      </c>
      <c r="F426">
        <v>111.289734</v>
      </c>
      <c r="G426">
        <v>231366600</v>
      </c>
      <c r="H426" s="2">
        <f t="shared" si="6"/>
        <v>-6.7294965834118425E-2</v>
      </c>
    </row>
    <row r="427" spans="1:8" x14ac:dyDescent="0.35">
      <c r="A427" s="1">
        <v>44083</v>
      </c>
      <c r="B427">
        <v>117.260002</v>
      </c>
      <c r="C427">
        <v>119.139999</v>
      </c>
      <c r="D427">
        <v>115.260002</v>
      </c>
      <c r="E427">
        <v>117.32</v>
      </c>
      <c r="F427">
        <v>115.72869900000001</v>
      </c>
      <c r="G427">
        <v>176940500</v>
      </c>
      <c r="H427" s="2">
        <f t="shared" si="6"/>
        <v>3.9886544938840585E-2</v>
      </c>
    </row>
    <row r="428" spans="1:8" x14ac:dyDescent="0.35">
      <c r="A428" s="1">
        <v>44084</v>
      </c>
      <c r="B428">
        <v>120.360001</v>
      </c>
      <c r="C428">
        <v>120.5</v>
      </c>
      <c r="D428">
        <v>112.5</v>
      </c>
      <c r="E428">
        <v>113.489998</v>
      </c>
      <c r="F428">
        <v>111.95063</v>
      </c>
      <c r="G428">
        <v>182274400</v>
      </c>
      <c r="H428" s="2">
        <f t="shared" si="6"/>
        <v>-3.2645772246846172E-2</v>
      </c>
    </row>
    <row r="429" spans="1:8" x14ac:dyDescent="0.35">
      <c r="A429" s="1">
        <v>44085</v>
      </c>
      <c r="B429">
        <v>114.57</v>
      </c>
      <c r="C429">
        <v>115.230003</v>
      </c>
      <c r="D429">
        <v>110</v>
      </c>
      <c r="E429">
        <v>112</v>
      </c>
      <c r="F429">
        <v>110.48085</v>
      </c>
      <c r="G429">
        <v>180860300</v>
      </c>
      <c r="H429" s="2">
        <f t="shared" si="6"/>
        <v>-1.3128892644794998E-2</v>
      </c>
    </row>
    <row r="430" spans="1:8" x14ac:dyDescent="0.35">
      <c r="A430" s="1">
        <v>44088</v>
      </c>
      <c r="B430">
        <v>114.720001</v>
      </c>
      <c r="C430">
        <v>115.93</v>
      </c>
      <c r="D430">
        <v>112.800003</v>
      </c>
      <c r="E430">
        <v>115.360001</v>
      </c>
      <c r="F430">
        <v>113.795288</v>
      </c>
      <c r="G430">
        <v>140150100</v>
      </c>
      <c r="H430" s="2">
        <f t="shared" si="6"/>
        <v>3.0000008928571464E-2</v>
      </c>
    </row>
    <row r="431" spans="1:8" x14ac:dyDescent="0.35">
      <c r="A431" s="1">
        <v>44089</v>
      </c>
      <c r="B431">
        <v>118.33000199999999</v>
      </c>
      <c r="C431">
        <v>118.83000199999999</v>
      </c>
      <c r="D431">
        <v>113.610001</v>
      </c>
      <c r="E431">
        <v>115.540001</v>
      </c>
      <c r="F431">
        <v>113.972832</v>
      </c>
      <c r="G431">
        <v>184642000</v>
      </c>
      <c r="H431" s="2">
        <f t="shared" si="6"/>
        <v>1.5603328574866904E-3</v>
      </c>
    </row>
    <row r="432" spans="1:8" x14ac:dyDescent="0.35">
      <c r="A432" s="1">
        <v>44090</v>
      </c>
      <c r="B432">
        <v>115.230003</v>
      </c>
      <c r="C432">
        <v>116</v>
      </c>
      <c r="D432">
        <v>112.040001</v>
      </c>
      <c r="E432">
        <v>112.129997</v>
      </c>
      <c r="F432">
        <v>110.609093</v>
      </c>
      <c r="G432">
        <v>154679000</v>
      </c>
      <c r="H432" s="2">
        <f t="shared" si="6"/>
        <v>-2.9513622732269207E-2</v>
      </c>
    </row>
    <row r="433" spans="1:8" x14ac:dyDescent="0.35">
      <c r="A433" s="1">
        <v>44091</v>
      </c>
      <c r="B433">
        <v>109.720001</v>
      </c>
      <c r="C433">
        <v>112.199997</v>
      </c>
      <c r="D433">
        <v>108.709999</v>
      </c>
      <c r="E433">
        <v>110.339996</v>
      </c>
      <c r="F433">
        <v>108.843361</v>
      </c>
      <c r="G433">
        <v>178011000</v>
      </c>
      <c r="H433" s="2">
        <f t="shared" si="6"/>
        <v>-1.5963623008034222E-2</v>
      </c>
    </row>
    <row r="434" spans="1:8" x14ac:dyDescent="0.35">
      <c r="A434" s="1">
        <v>44092</v>
      </c>
      <c r="B434">
        <v>110.400002</v>
      </c>
      <c r="C434">
        <v>110.879997</v>
      </c>
      <c r="D434">
        <v>106.089996</v>
      </c>
      <c r="E434">
        <v>106.839996</v>
      </c>
      <c r="F434">
        <v>105.390839</v>
      </c>
      <c r="G434">
        <v>287104900</v>
      </c>
      <c r="H434" s="2">
        <f t="shared" si="6"/>
        <v>-3.1720138905932171E-2</v>
      </c>
    </row>
    <row r="435" spans="1:8" x14ac:dyDescent="0.35">
      <c r="A435" s="1">
        <v>44095</v>
      </c>
      <c r="B435">
        <v>104.540001</v>
      </c>
      <c r="C435">
        <v>110.19000200000001</v>
      </c>
      <c r="D435">
        <v>103.099998</v>
      </c>
      <c r="E435">
        <v>110.08000199999999</v>
      </c>
      <c r="F435">
        <v>108.586899</v>
      </c>
      <c r="G435">
        <v>195713800</v>
      </c>
      <c r="H435" s="2">
        <f t="shared" si="6"/>
        <v>3.0325777997969983E-2</v>
      </c>
    </row>
    <row r="436" spans="1:8" x14ac:dyDescent="0.35">
      <c r="A436" s="1">
        <v>44096</v>
      </c>
      <c r="B436">
        <v>112.68</v>
      </c>
      <c r="C436">
        <v>112.860001</v>
      </c>
      <c r="D436">
        <v>109.160004</v>
      </c>
      <c r="E436">
        <v>111.80999799999999</v>
      </c>
      <c r="F436">
        <v>110.29342699999999</v>
      </c>
      <c r="G436">
        <v>183055400</v>
      </c>
      <c r="H436" s="2">
        <f t="shared" si="6"/>
        <v>1.5715806400512289E-2</v>
      </c>
    </row>
    <row r="437" spans="1:8" x14ac:dyDescent="0.35">
      <c r="A437" s="1">
        <v>44097</v>
      </c>
      <c r="B437">
        <v>111.620003</v>
      </c>
      <c r="C437">
        <v>112.110001</v>
      </c>
      <c r="D437">
        <v>106.769997</v>
      </c>
      <c r="E437">
        <v>107.120003</v>
      </c>
      <c r="F437">
        <v>105.667046</v>
      </c>
      <c r="G437">
        <v>150718700</v>
      </c>
      <c r="H437" s="2">
        <f t="shared" si="6"/>
        <v>-4.1946114693607206E-2</v>
      </c>
    </row>
    <row r="438" spans="1:8" x14ac:dyDescent="0.35">
      <c r="A438" s="1">
        <v>44098</v>
      </c>
      <c r="B438">
        <v>105.16999800000001</v>
      </c>
      <c r="C438">
        <v>110.25</v>
      </c>
      <c r="D438">
        <v>105</v>
      </c>
      <c r="E438">
        <v>108.220001</v>
      </c>
      <c r="F438">
        <v>106.75213599999999</v>
      </c>
      <c r="G438">
        <v>167743300</v>
      </c>
      <c r="H438" s="2">
        <f t="shared" si="6"/>
        <v>1.0268838397997415E-2</v>
      </c>
    </row>
    <row r="439" spans="1:8" x14ac:dyDescent="0.35">
      <c r="A439" s="1">
        <v>44099</v>
      </c>
      <c r="B439">
        <v>108.43</v>
      </c>
      <c r="C439">
        <v>112.44000200000001</v>
      </c>
      <c r="D439">
        <v>107.66999800000001</v>
      </c>
      <c r="E439">
        <v>112.279999</v>
      </c>
      <c r="F439">
        <v>110.757057</v>
      </c>
      <c r="G439">
        <v>149981400</v>
      </c>
      <c r="H439" s="2">
        <f t="shared" si="6"/>
        <v>3.7516151935722108E-2</v>
      </c>
    </row>
    <row r="440" spans="1:8" x14ac:dyDescent="0.35">
      <c r="A440" s="1">
        <v>44102</v>
      </c>
      <c r="B440">
        <v>115.010002</v>
      </c>
      <c r="C440">
        <v>115.32</v>
      </c>
      <c r="D440">
        <v>112.779999</v>
      </c>
      <c r="E440">
        <v>114.959999</v>
      </c>
      <c r="F440">
        <v>113.40070299999999</v>
      </c>
      <c r="G440">
        <v>137672400</v>
      </c>
      <c r="H440" s="2">
        <f t="shared" si="6"/>
        <v>2.3868899393203469E-2</v>
      </c>
    </row>
    <row r="441" spans="1:8" x14ac:dyDescent="0.35">
      <c r="A441" s="1">
        <v>44103</v>
      </c>
      <c r="B441">
        <v>114.550003</v>
      </c>
      <c r="C441">
        <v>115.30999799999999</v>
      </c>
      <c r="D441">
        <v>113.57</v>
      </c>
      <c r="E441">
        <v>114.089996</v>
      </c>
      <c r="F441">
        <v>112.542511</v>
      </c>
      <c r="G441">
        <v>99382200</v>
      </c>
      <c r="H441" s="2">
        <f t="shared" si="6"/>
        <v>-7.5678758487114361E-3</v>
      </c>
    </row>
    <row r="442" spans="1:8" x14ac:dyDescent="0.35">
      <c r="A442" s="1">
        <v>44104</v>
      </c>
      <c r="B442">
        <v>113.790001</v>
      </c>
      <c r="C442">
        <v>117.260002</v>
      </c>
      <c r="D442">
        <v>113.620003</v>
      </c>
      <c r="E442">
        <v>115.80999799999999</v>
      </c>
      <c r="F442">
        <v>114.23917400000001</v>
      </c>
      <c r="G442">
        <v>142675200</v>
      </c>
      <c r="H442" s="2">
        <f t="shared" si="6"/>
        <v>1.5075835395769399E-2</v>
      </c>
    </row>
    <row r="443" spans="1:8" x14ac:dyDescent="0.35">
      <c r="A443" s="1">
        <v>44105</v>
      </c>
      <c r="B443">
        <v>117.639999</v>
      </c>
      <c r="C443">
        <v>117.720001</v>
      </c>
      <c r="D443">
        <v>115.83000199999999</v>
      </c>
      <c r="E443">
        <v>116.790001</v>
      </c>
      <c r="F443">
        <v>115.205887</v>
      </c>
      <c r="G443">
        <v>116120400</v>
      </c>
      <c r="H443" s="2">
        <f t="shared" si="6"/>
        <v>8.4621623083009911E-3</v>
      </c>
    </row>
    <row r="444" spans="1:8" x14ac:dyDescent="0.35">
      <c r="A444" s="1">
        <v>44106</v>
      </c>
      <c r="B444">
        <v>112.889999</v>
      </c>
      <c r="C444">
        <v>115.370003</v>
      </c>
      <c r="D444">
        <v>112.220001</v>
      </c>
      <c r="E444">
        <v>113.019997</v>
      </c>
      <c r="F444">
        <v>111.487022</v>
      </c>
      <c r="G444">
        <v>144712000</v>
      </c>
      <c r="H444" s="2">
        <f t="shared" si="6"/>
        <v>-3.2280194945798479E-2</v>
      </c>
    </row>
    <row r="445" spans="1:8" x14ac:dyDescent="0.35">
      <c r="A445" s="1">
        <v>44109</v>
      </c>
      <c r="B445">
        <v>113.910004</v>
      </c>
      <c r="C445">
        <v>116.650002</v>
      </c>
      <c r="D445">
        <v>113.550003</v>
      </c>
      <c r="E445">
        <v>116.5</v>
      </c>
      <c r="F445">
        <v>114.919815</v>
      </c>
      <c r="G445">
        <v>106243800</v>
      </c>
      <c r="H445" s="2">
        <f t="shared" si="6"/>
        <v>3.079103780192094E-2</v>
      </c>
    </row>
    <row r="446" spans="1:8" x14ac:dyDescent="0.35">
      <c r="A446" s="1">
        <v>44110</v>
      </c>
      <c r="B446">
        <v>115.699997</v>
      </c>
      <c r="C446">
        <v>116.120003</v>
      </c>
      <c r="D446">
        <v>112.25</v>
      </c>
      <c r="E446">
        <v>113.160004</v>
      </c>
      <c r="F446">
        <v>111.625122</v>
      </c>
      <c r="G446">
        <v>161498200</v>
      </c>
      <c r="H446" s="2">
        <f t="shared" si="6"/>
        <v>-2.8669493562231807E-2</v>
      </c>
    </row>
    <row r="447" spans="1:8" x14ac:dyDescent="0.35">
      <c r="A447" s="1">
        <v>44111</v>
      </c>
      <c r="B447">
        <v>114.620003</v>
      </c>
      <c r="C447">
        <v>115.550003</v>
      </c>
      <c r="D447">
        <v>114.129997</v>
      </c>
      <c r="E447">
        <v>115.08000199999999</v>
      </c>
      <c r="F447">
        <v>113.51908899999999</v>
      </c>
      <c r="G447">
        <v>96849000</v>
      </c>
      <c r="H447" s="2">
        <f t="shared" si="6"/>
        <v>1.69671079191549E-2</v>
      </c>
    </row>
    <row r="448" spans="1:8" x14ac:dyDescent="0.35">
      <c r="A448" s="1">
        <v>44112</v>
      </c>
      <c r="B448">
        <v>116.25</v>
      </c>
      <c r="C448">
        <v>116.400002</v>
      </c>
      <c r="D448">
        <v>114.589996</v>
      </c>
      <c r="E448">
        <v>114.970001</v>
      </c>
      <c r="F448">
        <v>113.410561</v>
      </c>
      <c r="G448">
        <v>83477200</v>
      </c>
      <c r="H448" s="2">
        <f t="shared" si="6"/>
        <v>-9.5586546826786911E-4</v>
      </c>
    </row>
    <row r="449" spans="1:8" x14ac:dyDescent="0.35">
      <c r="A449" s="1">
        <v>44113</v>
      </c>
      <c r="B449">
        <v>115.279999</v>
      </c>
      <c r="C449">
        <v>117</v>
      </c>
      <c r="D449">
        <v>114.91999800000001</v>
      </c>
      <c r="E449">
        <v>116.970001</v>
      </c>
      <c r="F449">
        <v>115.38344600000001</v>
      </c>
      <c r="G449">
        <v>100506900</v>
      </c>
      <c r="H449" s="2">
        <f t="shared" si="6"/>
        <v>1.7395842242360349E-2</v>
      </c>
    </row>
    <row r="450" spans="1:8" x14ac:dyDescent="0.35">
      <c r="A450" s="1">
        <v>44116</v>
      </c>
      <c r="B450">
        <v>120.05999799999999</v>
      </c>
      <c r="C450">
        <v>125.18</v>
      </c>
      <c r="D450">
        <v>119.279999</v>
      </c>
      <c r="E450">
        <v>124.400002</v>
      </c>
      <c r="F450">
        <v>122.71266199999999</v>
      </c>
      <c r="G450">
        <v>240226800</v>
      </c>
      <c r="H450" s="2">
        <f t="shared" si="6"/>
        <v>6.3520568833713265E-2</v>
      </c>
    </row>
    <row r="451" spans="1:8" x14ac:dyDescent="0.35">
      <c r="A451" s="1">
        <v>44117</v>
      </c>
      <c r="B451">
        <v>125.269997</v>
      </c>
      <c r="C451">
        <v>125.389999</v>
      </c>
      <c r="D451">
        <v>119.650002</v>
      </c>
      <c r="E451">
        <v>121.099998</v>
      </c>
      <c r="F451">
        <v>119.457436</v>
      </c>
      <c r="G451">
        <v>262330500</v>
      </c>
      <c r="H451" s="2">
        <f t="shared" si="6"/>
        <v>-2.6527362917566522E-2</v>
      </c>
    </row>
    <row r="452" spans="1:8" x14ac:dyDescent="0.35">
      <c r="A452" s="1">
        <v>44118</v>
      </c>
      <c r="B452">
        <v>121</v>
      </c>
      <c r="C452">
        <v>123.029999</v>
      </c>
      <c r="D452">
        <v>119.620003</v>
      </c>
      <c r="E452">
        <v>121.19000200000001</v>
      </c>
      <c r="F452">
        <v>119.54619599999999</v>
      </c>
      <c r="G452">
        <v>150712000</v>
      </c>
      <c r="H452" s="2">
        <f t="shared" ref="H452:H515" si="7">E452/E451-1</f>
        <v>7.4322049121766653E-4</v>
      </c>
    </row>
    <row r="453" spans="1:8" x14ac:dyDescent="0.35">
      <c r="A453" s="1">
        <v>44119</v>
      </c>
      <c r="B453">
        <v>118.720001</v>
      </c>
      <c r="C453">
        <v>121.199997</v>
      </c>
      <c r="D453">
        <v>118.150002</v>
      </c>
      <c r="E453">
        <v>120.709999</v>
      </c>
      <c r="F453">
        <v>119.072716</v>
      </c>
      <c r="G453">
        <v>112559200</v>
      </c>
      <c r="H453" s="2">
        <f t="shared" si="7"/>
        <v>-3.9607475210703402E-3</v>
      </c>
    </row>
    <row r="454" spans="1:8" x14ac:dyDescent="0.35">
      <c r="A454" s="1">
        <v>44120</v>
      </c>
      <c r="B454">
        <v>121.279999</v>
      </c>
      <c r="C454">
        <v>121.550003</v>
      </c>
      <c r="D454">
        <v>118.80999799999999</v>
      </c>
      <c r="E454">
        <v>119.019997</v>
      </c>
      <c r="F454">
        <v>117.40564000000001</v>
      </c>
      <c r="G454">
        <v>115393800</v>
      </c>
      <c r="H454" s="2">
        <f t="shared" si="7"/>
        <v>-1.4000513743687382E-2</v>
      </c>
    </row>
    <row r="455" spans="1:8" x14ac:dyDescent="0.35">
      <c r="A455" s="1">
        <v>44123</v>
      </c>
      <c r="B455">
        <v>119.959999</v>
      </c>
      <c r="C455">
        <v>120.41999800000001</v>
      </c>
      <c r="D455">
        <v>115.660004</v>
      </c>
      <c r="E455">
        <v>115.980003</v>
      </c>
      <c r="F455">
        <v>114.406876</v>
      </c>
      <c r="G455">
        <v>120639300</v>
      </c>
      <c r="H455" s="2">
        <f t="shared" si="7"/>
        <v>-2.5541875958877802E-2</v>
      </c>
    </row>
    <row r="456" spans="1:8" x14ac:dyDescent="0.35">
      <c r="A456" s="1">
        <v>44124</v>
      </c>
      <c r="B456">
        <v>116.199997</v>
      </c>
      <c r="C456">
        <v>118.980003</v>
      </c>
      <c r="D456">
        <v>115.629997</v>
      </c>
      <c r="E456">
        <v>117.510002</v>
      </c>
      <c r="F456">
        <v>115.916115</v>
      </c>
      <c r="G456">
        <v>124423700</v>
      </c>
      <c r="H456" s="2">
        <f t="shared" si="7"/>
        <v>1.3191920679636482E-2</v>
      </c>
    </row>
    <row r="457" spans="1:8" x14ac:dyDescent="0.35">
      <c r="A457" s="1">
        <v>44125</v>
      </c>
      <c r="B457">
        <v>116.66999800000001</v>
      </c>
      <c r="C457">
        <v>118.709999</v>
      </c>
      <c r="D457">
        <v>116.449997</v>
      </c>
      <c r="E457">
        <v>116.870003</v>
      </c>
      <c r="F457">
        <v>115.28480500000001</v>
      </c>
      <c r="G457">
        <v>89946000</v>
      </c>
      <c r="H457" s="2">
        <f t="shared" si="7"/>
        <v>-5.4463363893058059E-3</v>
      </c>
    </row>
    <row r="458" spans="1:8" x14ac:dyDescent="0.35">
      <c r="A458" s="1">
        <v>44126</v>
      </c>
      <c r="B458">
        <v>117.449997</v>
      </c>
      <c r="C458">
        <v>118.040001</v>
      </c>
      <c r="D458">
        <v>114.589996</v>
      </c>
      <c r="E458">
        <v>115.75</v>
      </c>
      <c r="F458">
        <v>114.179993</v>
      </c>
      <c r="G458">
        <v>101988000</v>
      </c>
      <c r="H458" s="2">
        <f t="shared" si="7"/>
        <v>-9.5833231047319778E-3</v>
      </c>
    </row>
    <row r="459" spans="1:8" x14ac:dyDescent="0.35">
      <c r="A459" s="1">
        <v>44127</v>
      </c>
      <c r="B459">
        <v>116.389999</v>
      </c>
      <c r="C459">
        <v>116.550003</v>
      </c>
      <c r="D459">
        <v>114.279999</v>
      </c>
      <c r="E459">
        <v>115.040001</v>
      </c>
      <c r="F459">
        <v>113.47962200000001</v>
      </c>
      <c r="G459">
        <v>82572600</v>
      </c>
      <c r="H459" s="2">
        <f t="shared" si="7"/>
        <v>-6.133900647948165E-3</v>
      </c>
    </row>
    <row r="460" spans="1:8" x14ac:dyDescent="0.35">
      <c r="A460" s="1">
        <v>44130</v>
      </c>
      <c r="B460">
        <v>114.010002</v>
      </c>
      <c r="C460">
        <v>116.550003</v>
      </c>
      <c r="D460">
        <v>112.879997</v>
      </c>
      <c r="E460">
        <v>115.050003</v>
      </c>
      <c r="F460">
        <v>113.489479</v>
      </c>
      <c r="G460">
        <v>111850700</v>
      </c>
      <c r="H460" s="2">
        <f t="shared" si="7"/>
        <v>8.6943671010475398E-5</v>
      </c>
    </row>
    <row r="461" spans="1:8" x14ac:dyDescent="0.35">
      <c r="A461" s="1">
        <v>44131</v>
      </c>
      <c r="B461">
        <v>115.489998</v>
      </c>
      <c r="C461">
        <v>117.279999</v>
      </c>
      <c r="D461">
        <v>114.540001</v>
      </c>
      <c r="E461">
        <v>116.599998</v>
      </c>
      <c r="F461">
        <v>115.01844800000001</v>
      </c>
      <c r="G461">
        <v>92276800</v>
      </c>
      <c r="H461" s="2">
        <f t="shared" si="7"/>
        <v>1.3472359492246122E-2</v>
      </c>
    </row>
    <row r="462" spans="1:8" x14ac:dyDescent="0.35">
      <c r="A462" s="1">
        <v>44132</v>
      </c>
      <c r="B462">
        <v>115.050003</v>
      </c>
      <c r="C462">
        <v>115.43</v>
      </c>
      <c r="D462">
        <v>111.099998</v>
      </c>
      <c r="E462">
        <v>111.199997</v>
      </c>
      <c r="F462">
        <v>109.691704</v>
      </c>
      <c r="G462">
        <v>143937800</v>
      </c>
      <c r="H462" s="2">
        <f t="shared" si="7"/>
        <v>-4.6312187758356549E-2</v>
      </c>
    </row>
    <row r="463" spans="1:8" x14ac:dyDescent="0.35">
      <c r="A463" s="1">
        <v>44133</v>
      </c>
      <c r="B463">
        <v>112.370003</v>
      </c>
      <c r="C463">
        <v>116.93</v>
      </c>
      <c r="D463">
        <v>112.199997</v>
      </c>
      <c r="E463">
        <v>115.32</v>
      </c>
      <c r="F463">
        <v>113.755821</v>
      </c>
      <c r="G463">
        <v>146129200</v>
      </c>
      <c r="H463" s="2">
        <f t="shared" si="7"/>
        <v>3.7050387690208186E-2</v>
      </c>
    </row>
    <row r="464" spans="1:8" x14ac:dyDescent="0.35">
      <c r="A464" s="1">
        <v>44134</v>
      </c>
      <c r="B464">
        <v>111.05999799999999</v>
      </c>
      <c r="C464">
        <v>111.989998</v>
      </c>
      <c r="D464">
        <v>107.720001</v>
      </c>
      <c r="E464">
        <v>108.860001</v>
      </c>
      <c r="F464">
        <v>107.383461</v>
      </c>
      <c r="G464">
        <v>190272600</v>
      </c>
      <c r="H464" s="2">
        <f t="shared" si="7"/>
        <v>-5.601802809573353E-2</v>
      </c>
    </row>
    <row r="465" spans="1:8" x14ac:dyDescent="0.35">
      <c r="A465" s="1">
        <v>44137</v>
      </c>
      <c r="B465">
        <v>109.110001</v>
      </c>
      <c r="C465">
        <v>110.68</v>
      </c>
      <c r="D465">
        <v>107.32</v>
      </c>
      <c r="E465">
        <v>108.769997</v>
      </c>
      <c r="F465">
        <v>107.29465500000001</v>
      </c>
      <c r="G465">
        <v>122866900</v>
      </c>
      <c r="H465" s="2">
        <f t="shared" si="7"/>
        <v>-8.2678669091684753E-4</v>
      </c>
    </row>
    <row r="466" spans="1:8" x14ac:dyDescent="0.35">
      <c r="A466" s="1">
        <v>44138</v>
      </c>
      <c r="B466">
        <v>109.660004</v>
      </c>
      <c r="C466">
        <v>111.489998</v>
      </c>
      <c r="D466">
        <v>108.730003</v>
      </c>
      <c r="E466">
        <v>110.44000200000001</v>
      </c>
      <c r="F466">
        <v>108.94201700000001</v>
      </c>
      <c r="G466">
        <v>107624400</v>
      </c>
      <c r="H466" s="2">
        <f t="shared" si="7"/>
        <v>1.5353544599251867E-2</v>
      </c>
    </row>
    <row r="467" spans="1:8" x14ac:dyDescent="0.35">
      <c r="A467" s="1">
        <v>44139</v>
      </c>
      <c r="B467">
        <v>114.139999</v>
      </c>
      <c r="C467">
        <v>115.589996</v>
      </c>
      <c r="D467">
        <v>112.349998</v>
      </c>
      <c r="E467">
        <v>114.949997</v>
      </c>
      <c r="F467">
        <v>113.39083100000001</v>
      </c>
      <c r="G467">
        <v>138235500</v>
      </c>
      <c r="H467" s="2">
        <f t="shared" si="7"/>
        <v>4.0836607373476719E-2</v>
      </c>
    </row>
    <row r="468" spans="1:8" x14ac:dyDescent="0.35">
      <c r="A468" s="1">
        <v>44140</v>
      </c>
      <c r="B468">
        <v>117.949997</v>
      </c>
      <c r="C468">
        <v>119.620003</v>
      </c>
      <c r="D468">
        <v>116.870003</v>
      </c>
      <c r="E468">
        <v>119.029999</v>
      </c>
      <c r="F468">
        <v>117.415504</v>
      </c>
      <c r="G468">
        <v>126387100</v>
      </c>
      <c r="H468" s="2">
        <f t="shared" si="7"/>
        <v>3.5493711235155656E-2</v>
      </c>
    </row>
    <row r="469" spans="1:8" x14ac:dyDescent="0.35">
      <c r="A469" s="1">
        <v>44141</v>
      </c>
      <c r="B469">
        <v>118.32</v>
      </c>
      <c r="C469">
        <v>119.199997</v>
      </c>
      <c r="D469">
        <v>116.129997</v>
      </c>
      <c r="E469">
        <v>118.69000200000001</v>
      </c>
      <c r="F469">
        <v>117.28209699999999</v>
      </c>
      <c r="G469">
        <v>114457900</v>
      </c>
      <c r="H469" s="2">
        <f t="shared" si="7"/>
        <v>-2.8563975708342237E-3</v>
      </c>
    </row>
    <row r="470" spans="1:8" x14ac:dyDescent="0.35">
      <c r="A470" s="1">
        <v>44144</v>
      </c>
      <c r="B470">
        <v>120.5</v>
      </c>
      <c r="C470">
        <v>121.989998</v>
      </c>
      <c r="D470">
        <v>116.050003</v>
      </c>
      <c r="E470">
        <v>116.32</v>
      </c>
      <c r="F470">
        <v>114.94021600000001</v>
      </c>
      <c r="G470">
        <v>154515300</v>
      </c>
      <c r="H470" s="2">
        <f t="shared" si="7"/>
        <v>-1.996800033755175E-2</v>
      </c>
    </row>
    <row r="471" spans="1:8" x14ac:dyDescent="0.35">
      <c r="A471" s="1">
        <v>44145</v>
      </c>
      <c r="B471">
        <v>115.550003</v>
      </c>
      <c r="C471">
        <v>117.589996</v>
      </c>
      <c r="D471">
        <v>114.129997</v>
      </c>
      <c r="E471">
        <v>115.970001</v>
      </c>
      <c r="F471">
        <v>114.59435999999999</v>
      </c>
      <c r="G471">
        <v>138023400</v>
      </c>
      <c r="H471" s="2">
        <f t="shared" si="7"/>
        <v>-3.0089322558458642E-3</v>
      </c>
    </row>
    <row r="472" spans="1:8" x14ac:dyDescent="0.35">
      <c r="A472" s="1">
        <v>44146</v>
      </c>
      <c r="B472">
        <v>117.19000200000001</v>
      </c>
      <c r="C472">
        <v>119.629997</v>
      </c>
      <c r="D472">
        <v>116.44000200000001</v>
      </c>
      <c r="E472">
        <v>119.489998</v>
      </c>
      <c r="F472">
        <v>118.072609</v>
      </c>
      <c r="G472">
        <v>112295000</v>
      </c>
      <c r="H472" s="2">
        <f t="shared" si="7"/>
        <v>3.0352651286085663E-2</v>
      </c>
    </row>
    <row r="473" spans="1:8" x14ac:dyDescent="0.35">
      <c r="A473" s="1">
        <v>44147</v>
      </c>
      <c r="B473">
        <v>119.620003</v>
      </c>
      <c r="C473">
        <v>120.529999</v>
      </c>
      <c r="D473">
        <v>118.57</v>
      </c>
      <c r="E473">
        <v>119.209999</v>
      </c>
      <c r="F473">
        <v>117.795937</v>
      </c>
      <c r="G473">
        <v>103162300</v>
      </c>
      <c r="H473" s="2">
        <f t="shared" si="7"/>
        <v>-2.3432839960378926E-3</v>
      </c>
    </row>
    <row r="474" spans="1:8" x14ac:dyDescent="0.35">
      <c r="A474" s="1">
        <v>44148</v>
      </c>
      <c r="B474">
        <v>119.44000200000001</v>
      </c>
      <c r="C474">
        <v>119.66999800000001</v>
      </c>
      <c r="D474">
        <v>117.870003</v>
      </c>
      <c r="E474">
        <v>119.260002</v>
      </c>
      <c r="F474">
        <v>117.84535200000001</v>
      </c>
      <c r="G474">
        <v>81581900</v>
      </c>
      <c r="H474" s="2">
        <f t="shared" si="7"/>
        <v>4.1945306953650174E-4</v>
      </c>
    </row>
    <row r="475" spans="1:8" x14ac:dyDescent="0.35">
      <c r="A475" s="1">
        <v>44151</v>
      </c>
      <c r="B475">
        <v>118.91999800000001</v>
      </c>
      <c r="C475">
        <v>120.989998</v>
      </c>
      <c r="D475">
        <v>118.150002</v>
      </c>
      <c r="E475">
        <v>120.300003</v>
      </c>
      <c r="F475">
        <v>118.87301600000001</v>
      </c>
      <c r="G475">
        <v>91183000</v>
      </c>
      <c r="H475" s="2">
        <f t="shared" si="7"/>
        <v>8.7204509689677856E-3</v>
      </c>
    </row>
    <row r="476" spans="1:8" x14ac:dyDescent="0.35">
      <c r="A476" s="1">
        <v>44152</v>
      </c>
      <c r="B476">
        <v>119.550003</v>
      </c>
      <c r="C476">
        <v>120.66999800000001</v>
      </c>
      <c r="D476">
        <v>118.959999</v>
      </c>
      <c r="E476">
        <v>119.389999</v>
      </c>
      <c r="F476">
        <v>117.97380099999999</v>
      </c>
      <c r="G476">
        <v>74271000</v>
      </c>
      <c r="H476" s="2">
        <f t="shared" si="7"/>
        <v>-7.5644553392072433E-3</v>
      </c>
    </row>
    <row r="477" spans="1:8" x14ac:dyDescent="0.35">
      <c r="A477" s="1">
        <v>44153</v>
      </c>
      <c r="B477">
        <v>118.610001</v>
      </c>
      <c r="C477">
        <v>119.82</v>
      </c>
      <c r="D477">
        <v>118</v>
      </c>
      <c r="E477">
        <v>118.029999</v>
      </c>
      <c r="F477">
        <v>116.629929</v>
      </c>
      <c r="G477">
        <v>76322100</v>
      </c>
      <c r="H477" s="2">
        <f t="shared" si="7"/>
        <v>-1.1391238892631161E-2</v>
      </c>
    </row>
    <row r="478" spans="1:8" x14ac:dyDescent="0.35">
      <c r="A478" s="1">
        <v>44154</v>
      </c>
      <c r="B478">
        <v>117.589996</v>
      </c>
      <c r="C478">
        <v>119.05999799999999</v>
      </c>
      <c r="D478">
        <v>116.80999799999999</v>
      </c>
      <c r="E478">
        <v>118.639999</v>
      </c>
      <c r="F478">
        <v>117.23268899999999</v>
      </c>
      <c r="G478">
        <v>74113000</v>
      </c>
      <c r="H478" s="2">
        <f t="shared" si="7"/>
        <v>5.1681776257577194E-3</v>
      </c>
    </row>
    <row r="479" spans="1:8" x14ac:dyDescent="0.35">
      <c r="A479" s="1">
        <v>44155</v>
      </c>
      <c r="B479">
        <v>118.639999</v>
      </c>
      <c r="C479">
        <v>118.769997</v>
      </c>
      <c r="D479">
        <v>117.290001</v>
      </c>
      <c r="E479">
        <v>117.339996</v>
      </c>
      <c r="F479">
        <v>115.94811199999999</v>
      </c>
      <c r="G479">
        <v>73604300</v>
      </c>
      <c r="H479" s="2">
        <f t="shared" si="7"/>
        <v>-1.0957543922433866E-2</v>
      </c>
    </row>
    <row r="480" spans="1:8" x14ac:dyDescent="0.35">
      <c r="A480" s="1">
        <v>44158</v>
      </c>
      <c r="B480">
        <v>117.18</v>
      </c>
      <c r="C480">
        <v>117.620003</v>
      </c>
      <c r="D480">
        <v>113.75</v>
      </c>
      <c r="E480">
        <v>113.849998</v>
      </c>
      <c r="F480">
        <v>112.49951900000001</v>
      </c>
      <c r="G480">
        <v>127959300</v>
      </c>
      <c r="H480" s="2">
        <f t="shared" si="7"/>
        <v>-2.9742612229166965E-2</v>
      </c>
    </row>
    <row r="481" spans="1:8" x14ac:dyDescent="0.35">
      <c r="A481" s="1">
        <v>44159</v>
      </c>
      <c r="B481">
        <v>113.910004</v>
      </c>
      <c r="C481">
        <v>115.849998</v>
      </c>
      <c r="D481">
        <v>112.589996</v>
      </c>
      <c r="E481">
        <v>115.16999800000001</v>
      </c>
      <c r="F481">
        <v>113.803856</v>
      </c>
      <c r="G481">
        <v>113874200</v>
      </c>
      <c r="H481" s="2">
        <f t="shared" si="7"/>
        <v>1.1594203102225809E-2</v>
      </c>
    </row>
    <row r="482" spans="1:8" x14ac:dyDescent="0.35">
      <c r="A482" s="1">
        <v>44160</v>
      </c>
      <c r="B482">
        <v>115.550003</v>
      </c>
      <c r="C482">
        <v>116.75</v>
      </c>
      <c r="D482">
        <v>115.16999800000001</v>
      </c>
      <c r="E482">
        <v>116.029999</v>
      </c>
      <c r="F482">
        <v>114.653656</v>
      </c>
      <c r="G482">
        <v>76499200</v>
      </c>
      <c r="H482" s="2">
        <f t="shared" si="7"/>
        <v>7.4672311794257151E-3</v>
      </c>
    </row>
    <row r="483" spans="1:8" x14ac:dyDescent="0.35">
      <c r="A483" s="1">
        <v>44162</v>
      </c>
      <c r="B483">
        <v>116.57</v>
      </c>
      <c r="C483">
        <v>117.489998</v>
      </c>
      <c r="D483">
        <v>116.220001</v>
      </c>
      <c r="E483">
        <v>116.589996</v>
      </c>
      <c r="F483">
        <v>115.207016</v>
      </c>
      <c r="G483">
        <v>46691300</v>
      </c>
      <c r="H483" s="2">
        <f t="shared" si="7"/>
        <v>4.826312202243388E-3</v>
      </c>
    </row>
    <row r="484" spans="1:8" x14ac:dyDescent="0.35">
      <c r="A484" s="1">
        <v>44165</v>
      </c>
      <c r="B484">
        <v>116.970001</v>
      </c>
      <c r="C484">
        <v>120.970001</v>
      </c>
      <c r="D484">
        <v>116.80999799999999</v>
      </c>
      <c r="E484">
        <v>119.050003</v>
      </c>
      <c r="F484">
        <v>117.637833</v>
      </c>
      <c r="G484">
        <v>169410200</v>
      </c>
      <c r="H484" s="2">
        <f t="shared" si="7"/>
        <v>2.1099640487165061E-2</v>
      </c>
    </row>
    <row r="485" spans="1:8" x14ac:dyDescent="0.35">
      <c r="A485" s="1">
        <v>44166</v>
      </c>
      <c r="B485">
        <v>121.010002</v>
      </c>
      <c r="C485">
        <v>123.470001</v>
      </c>
      <c r="D485">
        <v>120.010002</v>
      </c>
      <c r="E485">
        <v>122.720001</v>
      </c>
      <c r="F485">
        <v>121.26430499999999</v>
      </c>
      <c r="G485">
        <v>127728200</v>
      </c>
      <c r="H485" s="2">
        <f t="shared" si="7"/>
        <v>3.0827365875832902E-2</v>
      </c>
    </row>
    <row r="486" spans="1:8" x14ac:dyDescent="0.35">
      <c r="A486" s="1">
        <v>44167</v>
      </c>
      <c r="B486">
        <v>122.019997</v>
      </c>
      <c r="C486">
        <v>123.370003</v>
      </c>
      <c r="D486">
        <v>120.889999</v>
      </c>
      <c r="E486">
        <v>123.08000199999999</v>
      </c>
      <c r="F486">
        <v>121.620026</v>
      </c>
      <c r="G486">
        <v>89004200</v>
      </c>
      <c r="H486" s="2">
        <f t="shared" si="7"/>
        <v>2.9335152955221044E-3</v>
      </c>
    </row>
    <row r="487" spans="1:8" x14ac:dyDescent="0.35">
      <c r="A487" s="1">
        <v>44168</v>
      </c>
      <c r="B487">
        <v>123.519997</v>
      </c>
      <c r="C487">
        <v>123.779999</v>
      </c>
      <c r="D487">
        <v>122.209999</v>
      </c>
      <c r="E487">
        <v>122.94000200000001</v>
      </c>
      <c r="F487">
        <v>121.481689</v>
      </c>
      <c r="G487">
        <v>78967600</v>
      </c>
      <c r="H487" s="2">
        <f t="shared" si="7"/>
        <v>-1.1374715447273198E-3</v>
      </c>
    </row>
    <row r="488" spans="1:8" x14ac:dyDescent="0.35">
      <c r="A488" s="1">
        <v>44169</v>
      </c>
      <c r="B488">
        <v>122.599998</v>
      </c>
      <c r="C488">
        <v>122.860001</v>
      </c>
      <c r="D488">
        <v>121.519997</v>
      </c>
      <c r="E488">
        <v>122.25</v>
      </c>
      <c r="F488">
        <v>120.79988899999999</v>
      </c>
      <c r="G488">
        <v>78260400</v>
      </c>
      <c r="H488" s="2">
        <f t="shared" si="7"/>
        <v>-5.6125100762566271E-3</v>
      </c>
    </row>
    <row r="489" spans="1:8" x14ac:dyDescent="0.35">
      <c r="A489" s="1">
        <v>44172</v>
      </c>
      <c r="B489">
        <v>122.30999799999999</v>
      </c>
      <c r="C489">
        <v>124.57</v>
      </c>
      <c r="D489">
        <v>122.25</v>
      </c>
      <c r="E489">
        <v>123.75</v>
      </c>
      <c r="F489">
        <v>122.282082</v>
      </c>
      <c r="G489">
        <v>86712000</v>
      </c>
      <c r="H489" s="2">
        <f t="shared" si="7"/>
        <v>1.2269938650306678E-2</v>
      </c>
    </row>
    <row r="490" spans="1:8" x14ac:dyDescent="0.35">
      <c r="A490" s="1">
        <v>44173</v>
      </c>
      <c r="B490">
        <v>124.370003</v>
      </c>
      <c r="C490">
        <v>124.980003</v>
      </c>
      <c r="D490">
        <v>123.089996</v>
      </c>
      <c r="E490">
        <v>124.379997</v>
      </c>
      <c r="F490">
        <v>122.904602</v>
      </c>
      <c r="G490">
        <v>82225500</v>
      </c>
      <c r="H490" s="2">
        <f t="shared" si="7"/>
        <v>5.0908848484849667E-3</v>
      </c>
    </row>
    <row r="491" spans="1:8" x14ac:dyDescent="0.35">
      <c r="A491" s="1">
        <v>44174</v>
      </c>
      <c r="B491">
        <v>124.529999</v>
      </c>
      <c r="C491">
        <v>125.949997</v>
      </c>
      <c r="D491">
        <v>121</v>
      </c>
      <c r="E491">
        <v>121.779999</v>
      </c>
      <c r="F491">
        <v>120.33545700000001</v>
      </c>
      <c r="G491">
        <v>115089200</v>
      </c>
      <c r="H491" s="2">
        <f t="shared" si="7"/>
        <v>-2.0903666688462774E-2</v>
      </c>
    </row>
    <row r="492" spans="1:8" x14ac:dyDescent="0.35">
      <c r="A492" s="1">
        <v>44175</v>
      </c>
      <c r="B492">
        <v>120.5</v>
      </c>
      <c r="C492">
        <v>123.870003</v>
      </c>
      <c r="D492">
        <v>120.150002</v>
      </c>
      <c r="E492">
        <v>123.239998</v>
      </c>
      <c r="F492">
        <v>121.77813</v>
      </c>
      <c r="G492">
        <v>81312200</v>
      </c>
      <c r="H492" s="2">
        <f t="shared" si="7"/>
        <v>1.1988824207495696E-2</v>
      </c>
    </row>
    <row r="493" spans="1:8" x14ac:dyDescent="0.35">
      <c r="A493" s="1">
        <v>44176</v>
      </c>
      <c r="B493">
        <v>122.43</v>
      </c>
      <c r="C493">
        <v>122.760002</v>
      </c>
      <c r="D493">
        <v>120.550003</v>
      </c>
      <c r="E493">
        <v>122.410004</v>
      </c>
      <c r="F493">
        <v>120.957977</v>
      </c>
      <c r="G493">
        <v>86939800</v>
      </c>
      <c r="H493" s="2">
        <f t="shared" si="7"/>
        <v>-6.7347777788830943E-3</v>
      </c>
    </row>
    <row r="494" spans="1:8" x14ac:dyDescent="0.35">
      <c r="A494" s="1">
        <v>44179</v>
      </c>
      <c r="B494">
        <v>122.599998</v>
      </c>
      <c r="C494">
        <v>123.349998</v>
      </c>
      <c r="D494">
        <v>121.540001</v>
      </c>
      <c r="E494">
        <v>121.779999</v>
      </c>
      <c r="F494">
        <v>120.33545700000001</v>
      </c>
      <c r="G494">
        <v>79184500</v>
      </c>
      <c r="H494" s="2">
        <f t="shared" si="7"/>
        <v>-5.1466790246980088E-3</v>
      </c>
    </row>
    <row r="495" spans="1:8" x14ac:dyDescent="0.35">
      <c r="A495" s="1">
        <v>44180</v>
      </c>
      <c r="B495">
        <v>124.339996</v>
      </c>
      <c r="C495">
        <v>127.900002</v>
      </c>
      <c r="D495">
        <v>124.129997</v>
      </c>
      <c r="E495">
        <v>127.879997</v>
      </c>
      <c r="F495">
        <v>126.363091</v>
      </c>
      <c r="G495">
        <v>157243700</v>
      </c>
      <c r="H495" s="2">
        <f t="shared" si="7"/>
        <v>5.0090310807113791E-2</v>
      </c>
    </row>
    <row r="496" spans="1:8" x14ac:dyDescent="0.35">
      <c r="A496" s="1">
        <v>44181</v>
      </c>
      <c r="B496">
        <v>127.410004</v>
      </c>
      <c r="C496">
        <v>128.36999499999999</v>
      </c>
      <c r="D496">
        <v>126.55999799999999</v>
      </c>
      <c r="E496">
        <v>127.80999799999999</v>
      </c>
      <c r="F496">
        <v>126.29392199999999</v>
      </c>
      <c r="G496">
        <v>98208600</v>
      </c>
      <c r="H496" s="2">
        <f t="shared" si="7"/>
        <v>-5.4738036942558743E-4</v>
      </c>
    </row>
    <row r="497" spans="1:8" x14ac:dyDescent="0.35">
      <c r="A497" s="1">
        <v>44182</v>
      </c>
      <c r="B497">
        <v>128.89999399999999</v>
      </c>
      <c r="C497">
        <v>129.58000200000001</v>
      </c>
      <c r="D497">
        <v>128.03999300000001</v>
      </c>
      <c r="E497">
        <v>128.699997</v>
      </c>
      <c r="F497">
        <v>127.17336299999999</v>
      </c>
      <c r="G497">
        <v>94359800</v>
      </c>
      <c r="H497" s="2">
        <f t="shared" si="7"/>
        <v>6.9634536728495622E-3</v>
      </c>
    </row>
    <row r="498" spans="1:8" x14ac:dyDescent="0.35">
      <c r="A498" s="1">
        <v>44183</v>
      </c>
      <c r="B498">
        <v>128.96000699999999</v>
      </c>
      <c r="C498">
        <v>129.10000600000001</v>
      </c>
      <c r="D498">
        <v>126.120003</v>
      </c>
      <c r="E498">
        <v>126.660004</v>
      </c>
      <c r="F498">
        <v>125.157562</v>
      </c>
      <c r="G498">
        <v>192541500</v>
      </c>
      <c r="H498" s="2">
        <f t="shared" si="7"/>
        <v>-1.5850761830243032E-2</v>
      </c>
    </row>
    <row r="499" spans="1:8" x14ac:dyDescent="0.35">
      <c r="A499" s="1">
        <v>44186</v>
      </c>
      <c r="B499">
        <v>125.019997</v>
      </c>
      <c r="C499">
        <v>128.30999800000001</v>
      </c>
      <c r="D499">
        <v>123.449997</v>
      </c>
      <c r="E499">
        <v>128.229996</v>
      </c>
      <c r="F499">
        <v>126.70893100000001</v>
      </c>
      <c r="G499">
        <v>121251600</v>
      </c>
      <c r="H499" s="2">
        <f t="shared" si="7"/>
        <v>1.2395325678341118E-2</v>
      </c>
    </row>
    <row r="500" spans="1:8" x14ac:dyDescent="0.35">
      <c r="A500" s="1">
        <v>44187</v>
      </c>
      <c r="B500">
        <v>131.61000100000001</v>
      </c>
      <c r="C500">
        <v>134.41000399999999</v>
      </c>
      <c r="D500">
        <v>129.64999399999999</v>
      </c>
      <c r="E500">
        <v>131.88000500000001</v>
      </c>
      <c r="F500">
        <v>130.31564299999999</v>
      </c>
      <c r="G500">
        <v>168904800</v>
      </c>
      <c r="H500" s="2">
        <f t="shared" si="7"/>
        <v>2.8464548965594583E-2</v>
      </c>
    </row>
    <row r="501" spans="1:8" x14ac:dyDescent="0.35">
      <c r="A501" s="1">
        <v>44188</v>
      </c>
      <c r="B501">
        <v>132.16000399999999</v>
      </c>
      <c r="C501">
        <v>132.429993</v>
      </c>
      <c r="D501">
        <v>130.779999</v>
      </c>
      <c r="E501">
        <v>130.96000699999999</v>
      </c>
      <c r="F501">
        <v>129.40656999999999</v>
      </c>
      <c r="G501">
        <v>88223700</v>
      </c>
      <c r="H501" s="2">
        <f t="shared" si="7"/>
        <v>-6.9760233933872096E-3</v>
      </c>
    </row>
    <row r="502" spans="1:8" x14ac:dyDescent="0.35">
      <c r="A502" s="1">
        <v>44189</v>
      </c>
      <c r="B502">
        <v>131.320007</v>
      </c>
      <c r="C502">
        <v>133.46000699999999</v>
      </c>
      <c r="D502">
        <v>131.10000600000001</v>
      </c>
      <c r="E502">
        <v>131.970001</v>
      </c>
      <c r="F502">
        <v>130.404572</v>
      </c>
      <c r="G502">
        <v>54930100</v>
      </c>
      <c r="H502" s="2">
        <f t="shared" si="7"/>
        <v>7.7122323305924834E-3</v>
      </c>
    </row>
    <row r="503" spans="1:8" x14ac:dyDescent="0.35">
      <c r="A503" s="1">
        <v>44193</v>
      </c>
      <c r="B503">
        <v>133.990005</v>
      </c>
      <c r="C503">
        <v>137.33999600000001</v>
      </c>
      <c r="D503">
        <v>133.509995</v>
      </c>
      <c r="E503">
        <v>136.69000199999999</v>
      </c>
      <c r="F503">
        <v>135.06858800000001</v>
      </c>
      <c r="G503">
        <v>124486200</v>
      </c>
      <c r="H503" s="2">
        <f t="shared" si="7"/>
        <v>3.5765711633206632E-2</v>
      </c>
    </row>
    <row r="504" spans="1:8" x14ac:dyDescent="0.35">
      <c r="A504" s="1">
        <v>44194</v>
      </c>
      <c r="B504">
        <v>138.050003</v>
      </c>
      <c r="C504">
        <v>138.78999300000001</v>
      </c>
      <c r="D504">
        <v>134.33999600000001</v>
      </c>
      <c r="E504">
        <v>134.86999499999999</v>
      </c>
      <c r="F504">
        <v>133.270172</v>
      </c>
      <c r="G504">
        <v>121047300</v>
      </c>
      <c r="H504" s="2">
        <f t="shared" si="7"/>
        <v>-1.3314850928160871E-2</v>
      </c>
    </row>
    <row r="505" spans="1:8" x14ac:dyDescent="0.35">
      <c r="A505" s="1">
        <v>44195</v>
      </c>
      <c r="B505">
        <v>135.58000200000001</v>
      </c>
      <c r="C505">
        <v>135.990005</v>
      </c>
      <c r="D505">
        <v>133.39999399999999</v>
      </c>
      <c r="E505">
        <v>133.720001</v>
      </c>
      <c r="F505">
        <v>132.133804</v>
      </c>
      <c r="G505">
        <v>96452100</v>
      </c>
      <c r="H505" s="2">
        <f t="shared" si="7"/>
        <v>-8.5266852719909636E-3</v>
      </c>
    </row>
    <row r="506" spans="1:8" x14ac:dyDescent="0.35">
      <c r="A506" s="1">
        <v>44196</v>
      </c>
      <c r="B506">
        <v>134.08000200000001</v>
      </c>
      <c r="C506">
        <v>134.740005</v>
      </c>
      <c r="D506">
        <v>131.720001</v>
      </c>
      <c r="E506">
        <v>132.69000199999999</v>
      </c>
      <c r="F506">
        <v>131.116028</v>
      </c>
      <c r="G506">
        <v>99116600</v>
      </c>
      <c r="H506" s="2">
        <f t="shared" si="7"/>
        <v>-7.7026547434740911E-3</v>
      </c>
    </row>
    <row r="507" spans="1:8" x14ac:dyDescent="0.35">
      <c r="A507" s="1">
        <v>44200</v>
      </c>
      <c r="B507">
        <v>133.520004</v>
      </c>
      <c r="C507">
        <v>133.61000100000001</v>
      </c>
      <c r="D507">
        <v>126.760002</v>
      </c>
      <c r="E507">
        <v>129.41000399999999</v>
      </c>
      <c r="F507">
        <v>127.874939</v>
      </c>
      <c r="G507">
        <v>143301900</v>
      </c>
      <c r="H507" s="2">
        <f t="shared" si="7"/>
        <v>-2.4719255034753917E-2</v>
      </c>
    </row>
    <row r="508" spans="1:8" x14ac:dyDescent="0.35">
      <c r="A508" s="1">
        <v>44201</v>
      </c>
      <c r="B508">
        <v>128.88999899999999</v>
      </c>
      <c r="C508">
        <v>131.740005</v>
      </c>
      <c r="D508">
        <v>128.429993</v>
      </c>
      <c r="E508">
        <v>131.009995</v>
      </c>
      <c r="F508">
        <v>129.455963</v>
      </c>
      <c r="G508">
        <v>97664900</v>
      </c>
      <c r="H508" s="2">
        <f t="shared" si="7"/>
        <v>1.2363735032417056E-2</v>
      </c>
    </row>
    <row r="509" spans="1:8" x14ac:dyDescent="0.35">
      <c r="A509" s="1">
        <v>44202</v>
      </c>
      <c r="B509">
        <v>127.720001</v>
      </c>
      <c r="C509">
        <v>131.050003</v>
      </c>
      <c r="D509">
        <v>126.379997</v>
      </c>
      <c r="E509">
        <v>126.599998</v>
      </c>
      <c r="F509">
        <v>125.098274</v>
      </c>
      <c r="G509">
        <v>155088000</v>
      </c>
      <c r="H509" s="2">
        <f t="shared" si="7"/>
        <v>-3.3661530938918105E-2</v>
      </c>
    </row>
    <row r="510" spans="1:8" x14ac:dyDescent="0.35">
      <c r="A510" s="1">
        <v>44203</v>
      </c>
      <c r="B510">
        <v>128.36000100000001</v>
      </c>
      <c r="C510">
        <v>131.63000500000001</v>
      </c>
      <c r="D510">
        <v>127.860001</v>
      </c>
      <c r="E510">
        <v>130.91999799999999</v>
      </c>
      <c r="F510">
        <v>129.36702</v>
      </c>
      <c r="G510">
        <v>109578200</v>
      </c>
      <c r="H510" s="2">
        <f t="shared" si="7"/>
        <v>3.4123223287886528E-2</v>
      </c>
    </row>
    <row r="511" spans="1:8" x14ac:dyDescent="0.35">
      <c r="A511" s="1">
        <v>44204</v>
      </c>
      <c r="B511">
        <v>132.429993</v>
      </c>
      <c r="C511">
        <v>132.63000500000001</v>
      </c>
      <c r="D511">
        <v>130.229996</v>
      </c>
      <c r="E511">
        <v>132.050003</v>
      </c>
      <c r="F511">
        <v>130.483643</v>
      </c>
      <c r="G511">
        <v>105158200</v>
      </c>
      <c r="H511" s="2">
        <f t="shared" si="7"/>
        <v>8.6312634987972814E-3</v>
      </c>
    </row>
    <row r="512" spans="1:8" x14ac:dyDescent="0.35">
      <c r="A512" s="1">
        <v>44207</v>
      </c>
      <c r="B512">
        <v>129.19000199999999</v>
      </c>
      <c r="C512">
        <v>130.16999799999999</v>
      </c>
      <c r="D512">
        <v>128.5</v>
      </c>
      <c r="E512">
        <v>128.979996</v>
      </c>
      <c r="F512">
        <v>127.45004299999999</v>
      </c>
      <c r="G512">
        <v>100384500</v>
      </c>
      <c r="H512" s="2">
        <f t="shared" si="7"/>
        <v>-2.3248821887569382E-2</v>
      </c>
    </row>
    <row r="513" spans="1:8" x14ac:dyDescent="0.35">
      <c r="A513" s="1">
        <v>44208</v>
      </c>
      <c r="B513">
        <v>128.5</v>
      </c>
      <c r="C513">
        <v>129.69000199999999</v>
      </c>
      <c r="D513">
        <v>126.860001</v>
      </c>
      <c r="E513">
        <v>128.800003</v>
      </c>
      <c r="F513">
        <v>127.272186</v>
      </c>
      <c r="G513">
        <v>91951100</v>
      </c>
      <c r="H513" s="2">
        <f t="shared" si="7"/>
        <v>-1.3955109752057382E-3</v>
      </c>
    </row>
    <row r="514" spans="1:8" x14ac:dyDescent="0.35">
      <c r="A514" s="1">
        <v>44209</v>
      </c>
      <c r="B514">
        <v>128.759995</v>
      </c>
      <c r="C514">
        <v>131.449997</v>
      </c>
      <c r="D514">
        <v>128.490005</v>
      </c>
      <c r="E514">
        <v>130.88999899999999</v>
      </c>
      <c r="F514">
        <v>129.33737199999999</v>
      </c>
      <c r="G514">
        <v>88636800</v>
      </c>
      <c r="H514" s="2">
        <f t="shared" si="7"/>
        <v>1.6226676640682891E-2</v>
      </c>
    </row>
    <row r="515" spans="1:8" x14ac:dyDescent="0.35">
      <c r="A515" s="1">
        <v>44210</v>
      </c>
      <c r="B515">
        <v>130.800003</v>
      </c>
      <c r="C515">
        <v>131</v>
      </c>
      <c r="D515">
        <v>128.759995</v>
      </c>
      <c r="E515">
        <v>128.91000399999999</v>
      </c>
      <c r="F515">
        <v>127.38088999999999</v>
      </c>
      <c r="G515">
        <v>90221800</v>
      </c>
      <c r="H515" s="2">
        <f t="shared" si="7"/>
        <v>-1.5127167966438759E-2</v>
      </c>
    </row>
    <row r="516" spans="1:8" x14ac:dyDescent="0.35">
      <c r="A516" s="1">
        <v>44211</v>
      </c>
      <c r="B516">
        <v>128.779999</v>
      </c>
      <c r="C516">
        <v>130.220001</v>
      </c>
      <c r="D516">
        <v>127</v>
      </c>
      <c r="E516">
        <v>127.139999</v>
      </c>
      <c r="F516">
        <v>125.63185900000001</v>
      </c>
      <c r="G516">
        <v>111598500</v>
      </c>
      <c r="H516" s="2">
        <f t="shared" ref="H516:H579" si="8">E516/E515-1</f>
        <v>-1.3730548018600519E-2</v>
      </c>
    </row>
    <row r="517" spans="1:8" x14ac:dyDescent="0.35">
      <c r="A517" s="1">
        <v>44215</v>
      </c>
      <c r="B517">
        <v>127.779999</v>
      </c>
      <c r="C517">
        <v>128.71000699999999</v>
      </c>
      <c r="D517">
        <v>126.94000200000001</v>
      </c>
      <c r="E517">
        <v>127.83000199999999</v>
      </c>
      <c r="F517">
        <v>126.313683</v>
      </c>
      <c r="G517">
        <v>90757300</v>
      </c>
      <c r="H517" s="2">
        <f t="shared" si="8"/>
        <v>5.42711188789613E-3</v>
      </c>
    </row>
    <row r="518" spans="1:8" x14ac:dyDescent="0.35">
      <c r="A518" s="1">
        <v>44216</v>
      </c>
      <c r="B518">
        <v>128.66000399999999</v>
      </c>
      <c r="C518">
        <v>132.490005</v>
      </c>
      <c r="D518">
        <v>128.550003</v>
      </c>
      <c r="E518">
        <v>132.029999</v>
      </c>
      <c r="F518">
        <v>130.46388200000001</v>
      </c>
      <c r="G518">
        <v>104319500</v>
      </c>
      <c r="H518" s="2">
        <f t="shared" si="8"/>
        <v>3.2856113074300142E-2</v>
      </c>
    </row>
    <row r="519" spans="1:8" x14ac:dyDescent="0.35">
      <c r="A519" s="1">
        <v>44217</v>
      </c>
      <c r="B519">
        <v>133.800003</v>
      </c>
      <c r="C519">
        <v>139.66999799999999</v>
      </c>
      <c r="D519">
        <v>133.58999600000001</v>
      </c>
      <c r="E519">
        <v>136.86999499999999</v>
      </c>
      <c r="F519">
        <v>135.24644499999999</v>
      </c>
      <c r="G519">
        <v>120150900</v>
      </c>
      <c r="H519" s="2">
        <f t="shared" si="8"/>
        <v>3.6658305208348896E-2</v>
      </c>
    </row>
    <row r="520" spans="1:8" x14ac:dyDescent="0.35">
      <c r="A520" s="1">
        <v>44218</v>
      </c>
      <c r="B520">
        <v>136.279999</v>
      </c>
      <c r="C520">
        <v>139.85000600000001</v>
      </c>
      <c r="D520">
        <v>135.020004</v>
      </c>
      <c r="E520">
        <v>139.070007</v>
      </c>
      <c r="F520">
        <v>137.42036400000001</v>
      </c>
      <c r="G520">
        <v>114459400</v>
      </c>
      <c r="H520" s="2">
        <f t="shared" si="8"/>
        <v>1.607373478752594E-2</v>
      </c>
    </row>
    <row r="521" spans="1:8" x14ac:dyDescent="0.35">
      <c r="A521" s="1">
        <v>44221</v>
      </c>
      <c r="B521">
        <v>143.070007</v>
      </c>
      <c r="C521">
        <v>145.08999600000001</v>
      </c>
      <c r="D521">
        <v>136.53999300000001</v>
      </c>
      <c r="E521">
        <v>142.91999799999999</v>
      </c>
      <c r="F521">
        <v>141.22467</v>
      </c>
      <c r="G521">
        <v>157611700</v>
      </c>
      <c r="H521" s="2">
        <f t="shared" si="8"/>
        <v>2.7683834085087788E-2</v>
      </c>
    </row>
    <row r="522" spans="1:8" x14ac:dyDescent="0.35">
      <c r="A522" s="1">
        <v>44222</v>
      </c>
      <c r="B522">
        <v>143.60000600000001</v>
      </c>
      <c r="C522">
        <v>144.300003</v>
      </c>
      <c r="D522">
        <v>141.36999499999999</v>
      </c>
      <c r="E522">
        <v>143.16000399999999</v>
      </c>
      <c r="F522">
        <v>141.461838</v>
      </c>
      <c r="G522">
        <v>98390600</v>
      </c>
      <c r="H522" s="2">
        <f t="shared" si="8"/>
        <v>1.6793031301329808E-3</v>
      </c>
    </row>
    <row r="523" spans="1:8" x14ac:dyDescent="0.35">
      <c r="A523" s="1">
        <v>44223</v>
      </c>
      <c r="B523">
        <v>143.429993</v>
      </c>
      <c r="C523">
        <v>144.300003</v>
      </c>
      <c r="D523">
        <v>140.41000399999999</v>
      </c>
      <c r="E523">
        <v>142.05999800000001</v>
      </c>
      <c r="F523">
        <v>140.374878</v>
      </c>
      <c r="G523">
        <v>140843800</v>
      </c>
      <c r="H523" s="2">
        <f t="shared" si="8"/>
        <v>-7.6837522301269612E-3</v>
      </c>
    </row>
    <row r="524" spans="1:8" x14ac:dyDescent="0.35">
      <c r="A524" s="1">
        <v>44224</v>
      </c>
      <c r="B524">
        <v>139.520004</v>
      </c>
      <c r="C524">
        <v>141.990005</v>
      </c>
      <c r="D524">
        <v>136.699997</v>
      </c>
      <c r="E524">
        <v>137.08999600000001</v>
      </c>
      <c r="F524">
        <v>135.46383700000001</v>
      </c>
      <c r="G524">
        <v>142621100</v>
      </c>
      <c r="H524" s="2">
        <f t="shared" si="8"/>
        <v>-3.4985232084826512E-2</v>
      </c>
    </row>
    <row r="525" spans="1:8" x14ac:dyDescent="0.35">
      <c r="A525" s="1">
        <v>44225</v>
      </c>
      <c r="B525">
        <v>135.83000200000001</v>
      </c>
      <c r="C525">
        <v>136.740005</v>
      </c>
      <c r="D525">
        <v>130.21000699999999</v>
      </c>
      <c r="E525">
        <v>131.96000699999999</v>
      </c>
      <c r="F525">
        <v>130.39471399999999</v>
      </c>
      <c r="G525">
        <v>177523800</v>
      </c>
      <c r="H525" s="2">
        <f t="shared" si="8"/>
        <v>-3.7420593403475033E-2</v>
      </c>
    </row>
    <row r="526" spans="1:8" x14ac:dyDescent="0.35">
      <c r="A526" s="1">
        <v>44228</v>
      </c>
      <c r="B526">
        <v>133.75</v>
      </c>
      <c r="C526">
        <v>135.38000500000001</v>
      </c>
      <c r="D526">
        <v>130.929993</v>
      </c>
      <c r="E526">
        <v>134.13999899999999</v>
      </c>
      <c r="F526">
        <v>132.54884300000001</v>
      </c>
      <c r="G526">
        <v>106239800</v>
      </c>
      <c r="H526" s="2">
        <f t="shared" si="8"/>
        <v>1.6520096122759398E-2</v>
      </c>
    </row>
    <row r="527" spans="1:8" x14ac:dyDescent="0.35">
      <c r="A527" s="1">
        <v>44229</v>
      </c>
      <c r="B527">
        <v>135.729996</v>
      </c>
      <c r="C527">
        <v>136.30999800000001</v>
      </c>
      <c r="D527">
        <v>134.61000100000001</v>
      </c>
      <c r="E527">
        <v>134.990005</v>
      </c>
      <c r="F527">
        <v>133.38876300000001</v>
      </c>
      <c r="G527">
        <v>83305400</v>
      </c>
      <c r="H527" s="2">
        <f t="shared" si="8"/>
        <v>6.3367079643410484E-3</v>
      </c>
    </row>
    <row r="528" spans="1:8" x14ac:dyDescent="0.35">
      <c r="A528" s="1">
        <v>44230</v>
      </c>
      <c r="B528">
        <v>135.759995</v>
      </c>
      <c r="C528">
        <v>135.770004</v>
      </c>
      <c r="D528">
        <v>133.61000100000001</v>
      </c>
      <c r="E528">
        <v>133.94000199999999</v>
      </c>
      <c r="F528">
        <v>132.351212</v>
      </c>
      <c r="G528">
        <v>89880900</v>
      </c>
      <c r="H528" s="2">
        <f t="shared" si="8"/>
        <v>-7.7783758879037546E-3</v>
      </c>
    </row>
    <row r="529" spans="1:8" x14ac:dyDescent="0.35">
      <c r="A529" s="1">
        <v>44231</v>
      </c>
      <c r="B529">
        <v>136.300003</v>
      </c>
      <c r="C529">
        <v>137.39999399999999</v>
      </c>
      <c r="D529">
        <v>134.58999600000001</v>
      </c>
      <c r="E529">
        <v>137.38999899999999</v>
      </c>
      <c r="F529">
        <v>135.76028400000001</v>
      </c>
      <c r="G529">
        <v>84183100</v>
      </c>
      <c r="H529" s="2">
        <f t="shared" si="8"/>
        <v>2.5757779218190446E-2</v>
      </c>
    </row>
    <row r="530" spans="1:8" x14ac:dyDescent="0.35">
      <c r="A530" s="1">
        <v>44232</v>
      </c>
      <c r="B530">
        <v>137.35000600000001</v>
      </c>
      <c r="C530">
        <v>137.41999799999999</v>
      </c>
      <c r="D530">
        <v>135.86000100000001</v>
      </c>
      <c r="E530">
        <v>136.759995</v>
      </c>
      <c r="F530">
        <v>135.33970600000001</v>
      </c>
      <c r="G530">
        <v>75693800</v>
      </c>
      <c r="H530" s="2">
        <f t="shared" si="8"/>
        <v>-4.5855157186512896E-3</v>
      </c>
    </row>
    <row r="531" spans="1:8" x14ac:dyDescent="0.35">
      <c r="A531" s="1">
        <v>44235</v>
      </c>
      <c r="B531">
        <v>136.029999</v>
      </c>
      <c r="C531">
        <v>136.96000699999999</v>
      </c>
      <c r="D531">
        <v>134.91999799999999</v>
      </c>
      <c r="E531">
        <v>136.91000399999999</v>
      </c>
      <c r="F531">
        <v>135.48812899999999</v>
      </c>
      <c r="G531">
        <v>71297200</v>
      </c>
      <c r="H531" s="2">
        <f t="shared" si="8"/>
        <v>1.0968777821320774E-3</v>
      </c>
    </row>
    <row r="532" spans="1:8" x14ac:dyDescent="0.35">
      <c r="A532" s="1">
        <v>44236</v>
      </c>
      <c r="B532">
        <v>136.61999499999999</v>
      </c>
      <c r="C532">
        <v>137.88000500000001</v>
      </c>
      <c r="D532">
        <v>135.85000600000001</v>
      </c>
      <c r="E532">
        <v>136.009995</v>
      </c>
      <c r="F532">
        <v>134.59747300000001</v>
      </c>
      <c r="G532">
        <v>76774200</v>
      </c>
      <c r="H532" s="2">
        <f t="shared" si="8"/>
        <v>-6.573727074027258E-3</v>
      </c>
    </row>
    <row r="533" spans="1:8" x14ac:dyDescent="0.35">
      <c r="A533" s="1">
        <v>44237</v>
      </c>
      <c r="B533">
        <v>136.479996</v>
      </c>
      <c r="C533">
        <v>136.990005</v>
      </c>
      <c r="D533">
        <v>134.39999399999999</v>
      </c>
      <c r="E533">
        <v>135.38999899999999</v>
      </c>
      <c r="F533">
        <v>133.983902</v>
      </c>
      <c r="G533">
        <v>73046600</v>
      </c>
      <c r="H533" s="2">
        <f t="shared" si="8"/>
        <v>-4.5584591044210976E-3</v>
      </c>
    </row>
    <row r="534" spans="1:8" x14ac:dyDescent="0.35">
      <c r="A534" s="1">
        <v>44238</v>
      </c>
      <c r="B534">
        <v>135.89999399999999</v>
      </c>
      <c r="C534">
        <v>136.38999899999999</v>
      </c>
      <c r="D534">
        <v>133.770004</v>
      </c>
      <c r="E534">
        <v>135.13000500000001</v>
      </c>
      <c r="F534">
        <v>133.72662399999999</v>
      </c>
      <c r="G534">
        <v>64280000</v>
      </c>
      <c r="H534" s="2">
        <f t="shared" si="8"/>
        <v>-1.9203338645418233E-3</v>
      </c>
    </row>
    <row r="535" spans="1:8" x14ac:dyDescent="0.35">
      <c r="A535" s="1">
        <v>44239</v>
      </c>
      <c r="B535">
        <v>134.35000600000001</v>
      </c>
      <c r="C535">
        <v>135.529999</v>
      </c>
      <c r="D535">
        <v>133.69000199999999</v>
      </c>
      <c r="E535">
        <v>135.36999499999999</v>
      </c>
      <c r="F535">
        <v>133.96412699999999</v>
      </c>
      <c r="G535">
        <v>60145100</v>
      </c>
      <c r="H535" s="2">
        <f t="shared" si="8"/>
        <v>1.7759934220380469E-3</v>
      </c>
    </row>
    <row r="536" spans="1:8" x14ac:dyDescent="0.35">
      <c r="A536" s="1">
        <v>44243</v>
      </c>
      <c r="B536">
        <v>135.490005</v>
      </c>
      <c r="C536">
        <v>136.009995</v>
      </c>
      <c r="D536">
        <v>132.78999300000001</v>
      </c>
      <c r="E536">
        <v>133.19000199999999</v>
      </c>
      <c r="F536">
        <v>131.80677800000001</v>
      </c>
      <c r="G536">
        <v>80576300</v>
      </c>
      <c r="H536" s="2">
        <f t="shared" si="8"/>
        <v>-1.6103960113169835E-2</v>
      </c>
    </row>
    <row r="537" spans="1:8" x14ac:dyDescent="0.35">
      <c r="A537" s="1">
        <v>44244</v>
      </c>
      <c r="B537">
        <v>131.25</v>
      </c>
      <c r="C537">
        <v>132.220001</v>
      </c>
      <c r="D537">
        <v>129.470001</v>
      </c>
      <c r="E537">
        <v>130.83999600000001</v>
      </c>
      <c r="F537">
        <v>129.48117099999999</v>
      </c>
      <c r="G537">
        <v>97918500</v>
      </c>
      <c r="H537" s="2">
        <f t="shared" si="8"/>
        <v>-1.764401204829158E-2</v>
      </c>
    </row>
    <row r="538" spans="1:8" x14ac:dyDescent="0.35">
      <c r="A538" s="1">
        <v>44245</v>
      </c>
      <c r="B538">
        <v>129.199997</v>
      </c>
      <c r="C538">
        <v>130</v>
      </c>
      <c r="D538">
        <v>127.410004</v>
      </c>
      <c r="E538">
        <v>129.71000699999999</v>
      </c>
      <c r="F538">
        <v>128.36291499999999</v>
      </c>
      <c r="G538">
        <v>96856700</v>
      </c>
      <c r="H538" s="2">
        <f t="shared" si="8"/>
        <v>-8.6364187904746093E-3</v>
      </c>
    </row>
    <row r="539" spans="1:8" x14ac:dyDescent="0.35">
      <c r="A539" s="1">
        <v>44246</v>
      </c>
      <c r="B539">
        <v>130.240005</v>
      </c>
      <c r="C539">
        <v>130.71000699999999</v>
      </c>
      <c r="D539">
        <v>128.800003</v>
      </c>
      <c r="E539">
        <v>129.86999499999999</v>
      </c>
      <c r="F539">
        <v>128.521255</v>
      </c>
      <c r="G539">
        <v>87668800</v>
      </c>
      <c r="H539" s="2">
        <f t="shared" si="8"/>
        <v>1.2334283506745258E-3</v>
      </c>
    </row>
    <row r="540" spans="1:8" x14ac:dyDescent="0.35">
      <c r="A540" s="1">
        <v>44249</v>
      </c>
      <c r="B540">
        <v>128.009995</v>
      </c>
      <c r="C540">
        <v>129.720001</v>
      </c>
      <c r="D540">
        <v>125.599998</v>
      </c>
      <c r="E540">
        <v>126</v>
      </c>
      <c r="F540">
        <v>124.69143699999999</v>
      </c>
      <c r="G540">
        <v>103916400</v>
      </c>
      <c r="H540" s="2">
        <f t="shared" si="8"/>
        <v>-2.9798992446253614E-2</v>
      </c>
    </row>
    <row r="541" spans="1:8" x14ac:dyDescent="0.35">
      <c r="A541" s="1">
        <v>44250</v>
      </c>
      <c r="B541">
        <v>123.760002</v>
      </c>
      <c r="C541">
        <v>126.709999</v>
      </c>
      <c r="D541">
        <v>118.389999</v>
      </c>
      <c r="E541">
        <v>125.860001</v>
      </c>
      <c r="F541">
        <v>124.55289500000001</v>
      </c>
      <c r="G541">
        <v>158273000</v>
      </c>
      <c r="H541" s="2">
        <f t="shared" si="8"/>
        <v>-1.1111031746031674E-3</v>
      </c>
    </row>
    <row r="542" spans="1:8" x14ac:dyDescent="0.35">
      <c r="A542" s="1">
        <v>44251</v>
      </c>
      <c r="B542">
        <v>124.94000200000001</v>
      </c>
      <c r="C542">
        <v>125.55999799999999</v>
      </c>
      <c r="D542">
        <v>122.230003</v>
      </c>
      <c r="E542">
        <v>125.349998</v>
      </c>
      <c r="F542">
        <v>124.04819500000001</v>
      </c>
      <c r="G542">
        <v>111039900</v>
      </c>
      <c r="H542" s="2">
        <f t="shared" si="8"/>
        <v>-4.0521452085480192E-3</v>
      </c>
    </row>
    <row r="543" spans="1:8" x14ac:dyDescent="0.35">
      <c r="A543" s="1">
        <v>44252</v>
      </c>
      <c r="B543">
        <v>124.68</v>
      </c>
      <c r="C543">
        <v>126.459999</v>
      </c>
      <c r="D543">
        <v>120.540001</v>
      </c>
      <c r="E543">
        <v>120.989998</v>
      </c>
      <c r="F543">
        <v>119.733475</v>
      </c>
      <c r="G543">
        <v>148199500</v>
      </c>
      <c r="H543" s="2">
        <f t="shared" si="8"/>
        <v>-3.4782609250620045E-2</v>
      </c>
    </row>
    <row r="544" spans="1:8" x14ac:dyDescent="0.35">
      <c r="A544" s="1">
        <v>44253</v>
      </c>
      <c r="B544">
        <v>122.589996</v>
      </c>
      <c r="C544">
        <v>124.849998</v>
      </c>
      <c r="D544">
        <v>121.199997</v>
      </c>
      <c r="E544">
        <v>121.260002</v>
      </c>
      <c r="F544">
        <v>120.000671</v>
      </c>
      <c r="G544">
        <v>164560400</v>
      </c>
      <c r="H544" s="2">
        <f t="shared" si="8"/>
        <v>2.2316224850256194E-3</v>
      </c>
    </row>
    <row r="545" spans="1:8" x14ac:dyDescent="0.35">
      <c r="A545" s="1">
        <v>44256</v>
      </c>
      <c r="B545">
        <v>123.75</v>
      </c>
      <c r="C545">
        <v>127.93</v>
      </c>
      <c r="D545">
        <v>122.790001</v>
      </c>
      <c r="E545">
        <v>127.790001</v>
      </c>
      <c r="F545">
        <v>126.462852</v>
      </c>
      <c r="G545">
        <v>116307900</v>
      </c>
      <c r="H545" s="2">
        <f t="shared" si="8"/>
        <v>5.3851219629701186E-2</v>
      </c>
    </row>
    <row r="546" spans="1:8" x14ac:dyDescent="0.35">
      <c r="A546" s="1">
        <v>44257</v>
      </c>
      <c r="B546">
        <v>128.41000399999999</v>
      </c>
      <c r="C546">
        <v>128.720001</v>
      </c>
      <c r="D546">
        <v>125.010002</v>
      </c>
      <c r="E546">
        <v>125.120003</v>
      </c>
      <c r="F546">
        <v>123.820595</v>
      </c>
      <c r="G546">
        <v>102260900</v>
      </c>
      <c r="H546" s="2">
        <f t="shared" si="8"/>
        <v>-2.0893637836343792E-2</v>
      </c>
    </row>
    <row r="547" spans="1:8" x14ac:dyDescent="0.35">
      <c r="A547" s="1">
        <v>44258</v>
      </c>
      <c r="B547">
        <v>124.80999799999999</v>
      </c>
      <c r="C547">
        <v>125.709999</v>
      </c>
      <c r="D547">
        <v>121.839996</v>
      </c>
      <c r="E547">
        <v>122.05999799999999</v>
      </c>
      <c r="F547">
        <v>120.792366</v>
      </c>
      <c r="G547">
        <v>112966300</v>
      </c>
      <c r="H547" s="2">
        <f t="shared" si="8"/>
        <v>-2.4456561114372777E-2</v>
      </c>
    </row>
    <row r="548" spans="1:8" x14ac:dyDescent="0.35">
      <c r="A548" s="1">
        <v>44259</v>
      </c>
      <c r="B548">
        <v>121.75</v>
      </c>
      <c r="C548">
        <v>123.599998</v>
      </c>
      <c r="D548">
        <v>118.620003</v>
      </c>
      <c r="E548">
        <v>120.129997</v>
      </c>
      <c r="F548">
        <v>118.882408</v>
      </c>
      <c r="G548">
        <v>178155000</v>
      </c>
      <c r="H548" s="2">
        <f t="shared" si="8"/>
        <v>-1.5811904240732422E-2</v>
      </c>
    </row>
    <row r="549" spans="1:8" x14ac:dyDescent="0.35">
      <c r="A549" s="1">
        <v>44260</v>
      </c>
      <c r="B549">
        <v>120.980003</v>
      </c>
      <c r="C549">
        <v>121.94000200000001</v>
      </c>
      <c r="D549">
        <v>117.57</v>
      </c>
      <c r="E549">
        <v>121.41999800000001</v>
      </c>
      <c r="F549">
        <v>120.158997</v>
      </c>
      <c r="G549">
        <v>153766600</v>
      </c>
      <c r="H549" s="2">
        <f t="shared" si="8"/>
        <v>1.0738375361817543E-2</v>
      </c>
    </row>
    <row r="550" spans="1:8" x14ac:dyDescent="0.35">
      <c r="A550" s="1">
        <v>44263</v>
      </c>
      <c r="B550">
        <v>120.93</v>
      </c>
      <c r="C550">
        <v>121</v>
      </c>
      <c r="D550">
        <v>116.209999</v>
      </c>
      <c r="E550">
        <v>116.360001</v>
      </c>
      <c r="F550">
        <v>115.151566</v>
      </c>
      <c r="G550">
        <v>154376600</v>
      </c>
      <c r="H550" s="2">
        <f t="shared" si="8"/>
        <v>-4.1673505875037264E-2</v>
      </c>
    </row>
    <row r="551" spans="1:8" x14ac:dyDescent="0.35">
      <c r="A551" s="1">
        <v>44264</v>
      </c>
      <c r="B551">
        <v>119.029999</v>
      </c>
      <c r="C551">
        <v>122.05999799999999</v>
      </c>
      <c r="D551">
        <v>118.790001</v>
      </c>
      <c r="E551">
        <v>121.089996</v>
      </c>
      <c r="F551">
        <v>119.832436</v>
      </c>
      <c r="G551">
        <v>129525800</v>
      </c>
      <c r="H551" s="2">
        <f t="shared" si="8"/>
        <v>4.0649664483932035E-2</v>
      </c>
    </row>
    <row r="552" spans="1:8" x14ac:dyDescent="0.35">
      <c r="A552" s="1">
        <v>44265</v>
      </c>
      <c r="B552">
        <v>121.69000200000001</v>
      </c>
      <c r="C552">
        <v>122.16999800000001</v>
      </c>
      <c r="D552">
        <v>119.449997</v>
      </c>
      <c r="E552">
        <v>119.980003</v>
      </c>
      <c r="F552">
        <v>118.73395499999999</v>
      </c>
      <c r="G552">
        <v>111943300</v>
      </c>
      <c r="H552" s="2">
        <f t="shared" si="8"/>
        <v>-9.1666779805658072E-3</v>
      </c>
    </row>
    <row r="553" spans="1:8" x14ac:dyDescent="0.35">
      <c r="A553" s="1">
        <v>44266</v>
      </c>
      <c r="B553">
        <v>122.540001</v>
      </c>
      <c r="C553">
        <v>123.209999</v>
      </c>
      <c r="D553">
        <v>121.260002</v>
      </c>
      <c r="E553">
        <v>121.959999</v>
      </c>
      <c r="F553">
        <v>120.693405</v>
      </c>
      <c r="G553">
        <v>103026500</v>
      </c>
      <c r="H553" s="2">
        <f t="shared" si="8"/>
        <v>1.6502716706883191E-2</v>
      </c>
    </row>
    <row r="554" spans="1:8" x14ac:dyDescent="0.35">
      <c r="A554" s="1">
        <v>44267</v>
      </c>
      <c r="B554">
        <v>120.400002</v>
      </c>
      <c r="C554">
        <v>121.16999800000001</v>
      </c>
      <c r="D554">
        <v>119.160004</v>
      </c>
      <c r="E554">
        <v>121.029999</v>
      </c>
      <c r="F554">
        <v>119.773056</v>
      </c>
      <c r="G554">
        <v>88105100</v>
      </c>
      <c r="H554" s="2">
        <f t="shared" si="8"/>
        <v>-7.6254510300545197E-3</v>
      </c>
    </row>
    <row r="555" spans="1:8" x14ac:dyDescent="0.35">
      <c r="A555" s="1">
        <v>44270</v>
      </c>
      <c r="B555">
        <v>121.410004</v>
      </c>
      <c r="C555">
        <v>124</v>
      </c>
      <c r="D555">
        <v>120.41999800000001</v>
      </c>
      <c r="E555">
        <v>123.989998</v>
      </c>
      <c r="F555">
        <v>122.702316</v>
      </c>
      <c r="G555">
        <v>92403800</v>
      </c>
      <c r="H555" s="2">
        <f t="shared" si="8"/>
        <v>2.4456738200914874E-2</v>
      </c>
    </row>
    <row r="556" spans="1:8" x14ac:dyDescent="0.35">
      <c r="A556" s="1">
        <v>44271</v>
      </c>
      <c r="B556">
        <v>125.699997</v>
      </c>
      <c r="C556">
        <v>127.220001</v>
      </c>
      <c r="D556">
        <v>124.720001</v>
      </c>
      <c r="E556">
        <v>125.57</v>
      </c>
      <c r="F556">
        <v>124.2659</v>
      </c>
      <c r="G556">
        <v>115227900</v>
      </c>
      <c r="H556" s="2">
        <f t="shared" si="8"/>
        <v>1.274297947807046E-2</v>
      </c>
    </row>
    <row r="557" spans="1:8" x14ac:dyDescent="0.35">
      <c r="A557" s="1">
        <v>44272</v>
      </c>
      <c r="B557">
        <v>124.050003</v>
      </c>
      <c r="C557">
        <v>125.860001</v>
      </c>
      <c r="D557">
        <v>122.339996</v>
      </c>
      <c r="E557">
        <v>124.760002</v>
      </c>
      <c r="F557">
        <v>123.46431699999999</v>
      </c>
      <c r="G557">
        <v>111932600</v>
      </c>
      <c r="H557" s="2">
        <f t="shared" si="8"/>
        <v>-6.4505694035198458E-3</v>
      </c>
    </row>
    <row r="558" spans="1:8" x14ac:dyDescent="0.35">
      <c r="A558" s="1">
        <v>44273</v>
      </c>
      <c r="B558">
        <v>122.879997</v>
      </c>
      <c r="C558">
        <v>123.18</v>
      </c>
      <c r="D558">
        <v>120.32</v>
      </c>
      <c r="E558">
        <v>120.529999</v>
      </c>
      <c r="F558">
        <v>119.278244</v>
      </c>
      <c r="G558">
        <v>121229700</v>
      </c>
      <c r="H558" s="2">
        <f t="shared" si="8"/>
        <v>-3.3905121290395579E-2</v>
      </c>
    </row>
    <row r="559" spans="1:8" x14ac:dyDescent="0.35">
      <c r="A559" s="1">
        <v>44274</v>
      </c>
      <c r="B559">
        <v>119.900002</v>
      </c>
      <c r="C559">
        <v>121.43</v>
      </c>
      <c r="D559">
        <v>119.68</v>
      </c>
      <c r="E559">
        <v>119.989998</v>
      </c>
      <c r="F559">
        <v>118.74385100000001</v>
      </c>
      <c r="G559">
        <v>185549500</v>
      </c>
      <c r="H559" s="2">
        <f t="shared" si="8"/>
        <v>-4.4802207291149143E-3</v>
      </c>
    </row>
    <row r="560" spans="1:8" x14ac:dyDescent="0.35">
      <c r="A560" s="1">
        <v>44277</v>
      </c>
      <c r="B560">
        <v>120.33000199999999</v>
      </c>
      <c r="C560">
        <v>123.870003</v>
      </c>
      <c r="D560">
        <v>120.260002</v>
      </c>
      <c r="E560">
        <v>123.389999</v>
      </c>
      <c r="F560">
        <v>122.108543</v>
      </c>
      <c r="G560">
        <v>111912300</v>
      </c>
      <c r="H560" s="2">
        <f t="shared" si="8"/>
        <v>2.8335703447549099E-2</v>
      </c>
    </row>
    <row r="561" spans="1:8" x14ac:dyDescent="0.35">
      <c r="A561" s="1">
        <v>44278</v>
      </c>
      <c r="B561">
        <v>123.33000199999999</v>
      </c>
      <c r="C561">
        <v>124.239998</v>
      </c>
      <c r="D561">
        <v>122.139999</v>
      </c>
      <c r="E561">
        <v>122.540001</v>
      </c>
      <c r="F561">
        <v>121.26738</v>
      </c>
      <c r="G561">
        <v>95467100</v>
      </c>
      <c r="H561" s="2">
        <f t="shared" si="8"/>
        <v>-6.8887106482592442E-3</v>
      </c>
    </row>
    <row r="562" spans="1:8" x14ac:dyDescent="0.35">
      <c r="A562" s="1">
        <v>44279</v>
      </c>
      <c r="B562">
        <v>122.82</v>
      </c>
      <c r="C562">
        <v>122.900002</v>
      </c>
      <c r="D562">
        <v>120.07</v>
      </c>
      <c r="E562">
        <v>120.089996</v>
      </c>
      <c r="F562">
        <v>118.842812</v>
      </c>
      <c r="G562">
        <v>88530500</v>
      </c>
      <c r="H562" s="2">
        <f t="shared" si="8"/>
        <v>-1.9993512159347859E-2</v>
      </c>
    </row>
    <row r="563" spans="1:8" x14ac:dyDescent="0.35">
      <c r="A563" s="1">
        <v>44280</v>
      </c>
      <c r="B563">
        <v>119.540001</v>
      </c>
      <c r="C563">
        <v>121.660004</v>
      </c>
      <c r="D563">
        <v>119</v>
      </c>
      <c r="E563">
        <v>120.589996</v>
      </c>
      <c r="F563">
        <v>119.337631</v>
      </c>
      <c r="G563">
        <v>98844700</v>
      </c>
      <c r="H563" s="2">
        <f t="shared" si="8"/>
        <v>4.1635441473408807E-3</v>
      </c>
    </row>
    <row r="564" spans="1:8" x14ac:dyDescent="0.35">
      <c r="A564" s="1">
        <v>44281</v>
      </c>
      <c r="B564">
        <v>120.349998</v>
      </c>
      <c r="C564">
        <v>121.480003</v>
      </c>
      <c r="D564">
        <v>118.91999800000001</v>
      </c>
      <c r="E564">
        <v>121.209999</v>
      </c>
      <c r="F564">
        <v>119.951195</v>
      </c>
      <c r="G564">
        <v>94071200</v>
      </c>
      <c r="H564" s="2">
        <f t="shared" si="8"/>
        <v>5.1414132230338527E-3</v>
      </c>
    </row>
    <row r="565" spans="1:8" x14ac:dyDescent="0.35">
      <c r="A565" s="1">
        <v>44284</v>
      </c>
      <c r="B565">
        <v>121.650002</v>
      </c>
      <c r="C565">
        <v>122.58000199999999</v>
      </c>
      <c r="D565">
        <v>120.730003</v>
      </c>
      <c r="E565">
        <v>121.389999</v>
      </c>
      <c r="F565">
        <v>120.129318</v>
      </c>
      <c r="G565">
        <v>80819200</v>
      </c>
      <c r="H565" s="2">
        <f t="shared" si="8"/>
        <v>1.4850260002066129E-3</v>
      </c>
    </row>
    <row r="566" spans="1:8" x14ac:dyDescent="0.35">
      <c r="A566" s="1">
        <v>44285</v>
      </c>
      <c r="B566">
        <v>120.110001</v>
      </c>
      <c r="C566">
        <v>120.400002</v>
      </c>
      <c r="D566">
        <v>118.860001</v>
      </c>
      <c r="E566">
        <v>119.900002</v>
      </c>
      <c r="F566">
        <v>118.654808</v>
      </c>
      <c r="G566">
        <v>85671900</v>
      </c>
      <c r="H566" s="2">
        <f t="shared" si="8"/>
        <v>-1.2274462577431922E-2</v>
      </c>
    </row>
    <row r="567" spans="1:8" x14ac:dyDescent="0.35">
      <c r="A567" s="1">
        <v>44286</v>
      </c>
      <c r="B567">
        <v>121.650002</v>
      </c>
      <c r="C567">
        <v>123.519997</v>
      </c>
      <c r="D567">
        <v>121.150002</v>
      </c>
      <c r="E567">
        <v>122.150002</v>
      </c>
      <c r="F567">
        <v>120.881424</v>
      </c>
      <c r="G567">
        <v>118323800</v>
      </c>
      <c r="H567" s="2">
        <f t="shared" si="8"/>
        <v>1.8765637718671568E-2</v>
      </c>
    </row>
    <row r="568" spans="1:8" x14ac:dyDescent="0.35">
      <c r="A568" s="1">
        <v>44287</v>
      </c>
      <c r="B568">
        <v>123.660004</v>
      </c>
      <c r="C568">
        <v>124.18</v>
      </c>
      <c r="D568">
        <v>122.489998</v>
      </c>
      <c r="E568">
        <v>123</v>
      </c>
      <c r="F568">
        <v>121.72260300000001</v>
      </c>
      <c r="G568">
        <v>75089100</v>
      </c>
      <c r="H568" s="2">
        <f t="shared" si="8"/>
        <v>6.9586409012092343E-3</v>
      </c>
    </row>
    <row r="569" spans="1:8" x14ac:dyDescent="0.35">
      <c r="A569" s="1">
        <v>44291</v>
      </c>
      <c r="B569">
        <v>123.870003</v>
      </c>
      <c r="C569">
        <v>126.160004</v>
      </c>
      <c r="D569">
        <v>123.07</v>
      </c>
      <c r="E569">
        <v>125.900002</v>
      </c>
      <c r="F569">
        <v>124.592484</v>
      </c>
      <c r="G569">
        <v>88651200</v>
      </c>
      <c r="H569" s="2">
        <f t="shared" si="8"/>
        <v>2.3577252032520368E-2</v>
      </c>
    </row>
    <row r="570" spans="1:8" x14ac:dyDescent="0.35">
      <c r="A570" s="1">
        <v>44292</v>
      </c>
      <c r="B570">
        <v>126.5</v>
      </c>
      <c r="C570">
        <v>127.129997</v>
      </c>
      <c r="D570">
        <v>125.650002</v>
      </c>
      <c r="E570">
        <v>126.209999</v>
      </c>
      <c r="F570">
        <v>124.899254</v>
      </c>
      <c r="G570">
        <v>80171300</v>
      </c>
      <c r="H570" s="2">
        <f t="shared" si="8"/>
        <v>2.462247776612303E-3</v>
      </c>
    </row>
    <row r="571" spans="1:8" x14ac:dyDescent="0.35">
      <c r="A571" s="1">
        <v>44293</v>
      </c>
      <c r="B571">
        <v>125.83000199999999</v>
      </c>
      <c r="C571">
        <v>127.91999800000001</v>
      </c>
      <c r="D571">
        <v>125.139999</v>
      </c>
      <c r="E571">
        <v>127.900002</v>
      </c>
      <c r="F571">
        <v>126.571709</v>
      </c>
      <c r="G571">
        <v>83466700</v>
      </c>
      <c r="H571" s="2">
        <f t="shared" si="8"/>
        <v>1.3390404986850513E-2</v>
      </c>
    </row>
    <row r="572" spans="1:8" x14ac:dyDescent="0.35">
      <c r="A572" s="1">
        <v>44294</v>
      </c>
      <c r="B572">
        <v>128.949997</v>
      </c>
      <c r="C572">
        <v>130.38999899999999</v>
      </c>
      <c r="D572">
        <v>128.520004</v>
      </c>
      <c r="E572">
        <v>130.36000100000001</v>
      </c>
      <c r="F572">
        <v>129.00616500000001</v>
      </c>
      <c r="G572">
        <v>88844600</v>
      </c>
      <c r="H572" s="2">
        <f t="shared" si="8"/>
        <v>1.9233768268432261E-2</v>
      </c>
    </row>
    <row r="573" spans="1:8" x14ac:dyDescent="0.35">
      <c r="A573" s="1">
        <v>44295</v>
      </c>
      <c r="B573">
        <v>129.800003</v>
      </c>
      <c r="C573">
        <v>133.03999300000001</v>
      </c>
      <c r="D573">
        <v>129.470001</v>
      </c>
      <c r="E573">
        <v>133</v>
      </c>
      <c r="F573">
        <v>131.61874399999999</v>
      </c>
      <c r="G573">
        <v>106686700</v>
      </c>
      <c r="H573" s="2">
        <f t="shared" si="8"/>
        <v>2.0251603097179993E-2</v>
      </c>
    </row>
    <row r="574" spans="1:8" x14ac:dyDescent="0.35">
      <c r="A574" s="1">
        <v>44298</v>
      </c>
      <c r="B574">
        <v>132.520004</v>
      </c>
      <c r="C574">
        <v>132.85000600000001</v>
      </c>
      <c r="D574">
        <v>130.63000500000001</v>
      </c>
      <c r="E574">
        <v>131.240005</v>
      </c>
      <c r="F574">
        <v>129.87699900000001</v>
      </c>
      <c r="G574">
        <v>91420000</v>
      </c>
      <c r="H574" s="2">
        <f t="shared" si="8"/>
        <v>-1.3233045112782005E-2</v>
      </c>
    </row>
    <row r="575" spans="1:8" x14ac:dyDescent="0.35">
      <c r="A575" s="1">
        <v>44299</v>
      </c>
      <c r="B575">
        <v>132.44000199999999</v>
      </c>
      <c r="C575">
        <v>134.66000399999999</v>
      </c>
      <c r="D575">
        <v>131.929993</v>
      </c>
      <c r="E575">
        <v>134.429993</v>
      </c>
      <c r="F575">
        <v>133.03387499999999</v>
      </c>
      <c r="G575">
        <v>91266500</v>
      </c>
      <c r="H575" s="2">
        <f t="shared" si="8"/>
        <v>2.430652147567347E-2</v>
      </c>
    </row>
    <row r="576" spans="1:8" x14ac:dyDescent="0.35">
      <c r="A576" s="1">
        <v>44300</v>
      </c>
      <c r="B576">
        <v>134.94000199999999</v>
      </c>
      <c r="C576">
        <v>135</v>
      </c>
      <c r="D576">
        <v>131.66000399999999</v>
      </c>
      <c r="E576">
        <v>132.029999</v>
      </c>
      <c r="F576">
        <v>130.658829</v>
      </c>
      <c r="G576">
        <v>87222800</v>
      </c>
      <c r="H576" s="2">
        <f t="shared" si="8"/>
        <v>-1.7853114074029564E-2</v>
      </c>
    </row>
    <row r="577" spans="1:8" x14ac:dyDescent="0.35">
      <c r="A577" s="1">
        <v>44301</v>
      </c>
      <c r="B577">
        <v>133.820007</v>
      </c>
      <c r="C577">
        <v>135</v>
      </c>
      <c r="D577">
        <v>133.63999899999999</v>
      </c>
      <c r="E577">
        <v>134.5</v>
      </c>
      <c r="F577">
        <v>133.10318000000001</v>
      </c>
      <c r="G577">
        <v>89347100</v>
      </c>
      <c r="H577" s="2">
        <f t="shared" si="8"/>
        <v>1.8707877139346074E-2</v>
      </c>
    </row>
    <row r="578" spans="1:8" x14ac:dyDescent="0.35">
      <c r="A578" s="1">
        <v>44302</v>
      </c>
      <c r="B578">
        <v>134.300003</v>
      </c>
      <c r="C578">
        <v>134.66999799999999</v>
      </c>
      <c r="D578">
        <v>133.279999</v>
      </c>
      <c r="E578">
        <v>134.16000399999999</v>
      </c>
      <c r="F578">
        <v>132.76670799999999</v>
      </c>
      <c r="G578">
        <v>84922400</v>
      </c>
      <c r="H578" s="2">
        <f t="shared" si="8"/>
        <v>-2.5278513011153247E-3</v>
      </c>
    </row>
    <row r="579" spans="1:8" x14ac:dyDescent="0.35">
      <c r="A579" s="1">
        <v>44305</v>
      </c>
      <c r="B579">
        <v>133.509995</v>
      </c>
      <c r="C579">
        <v>135.470001</v>
      </c>
      <c r="D579">
        <v>133.33999600000001</v>
      </c>
      <c r="E579">
        <v>134.83999600000001</v>
      </c>
      <c r="F579">
        <v>133.439651</v>
      </c>
      <c r="G579">
        <v>94264200</v>
      </c>
      <c r="H579" s="2">
        <f t="shared" si="8"/>
        <v>5.0685150546061486E-3</v>
      </c>
    </row>
    <row r="580" spans="1:8" x14ac:dyDescent="0.35">
      <c r="A580" s="1">
        <v>44306</v>
      </c>
      <c r="B580">
        <v>135.020004</v>
      </c>
      <c r="C580">
        <v>135.529999</v>
      </c>
      <c r="D580">
        <v>131.80999800000001</v>
      </c>
      <c r="E580">
        <v>133.11000100000001</v>
      </c>
      <c r="F580">
        <v>131.72761499999999</v>
      </c>
      <c r="G580">
        <v>94812300</v>
      </c>
      <c r="H580" s="2">
        <f t="shared" ref="H580:H643" si="9">E580/E579-1</f>
        <v>-1.2829984064965383E-2</v>
      </c>
    </row>
    <row r="581" spans="1:8" x14ac:dyDescent="0.35">
      <c r="A581" s="1">
        <v>44307</v>
      </c>
      <c r="B581">
        <v>132.36000100000001</v>
      </c>
      <c r="C581">
        <v>133.75</v>
      </c>
      <c r="D581">
        <v>131.300003</v>
      </c>
      <c r="E581">
        <v>133.5</v>
      </c>
      <c r="F581">
        <v>132.11355599999999</v>
      </c>
      <c r="G581">
        <v>68847100</v>
      </c>
      <c r="H581" s="2">
        <f t="shared" si="9"/>
        <v>2.9299000606273218E-3</v>
      </c>
    </row>
    <row r="582" spans="1:8" x14ac:dyDescent="0.35">
      <c r="A582" s="1">
        <v>44308</v>
      </c>
      <c r="B582">
        <v>133.03999300000001</v>
      </c>
      <c r="C582">
        <v>134.14999399999999</v>
      </c>
      <c r="D582">
        <v>131.41000399999999</v>
      </c>
      <c r="E582">
        <v>131.94000199999999</v>
      </c>
      <c r="F582">
        <v>130.569748</v>
      </c>
      <c r="G582">
        <v>84566500</v>
      </c>
      <c r="H582" s="2">
        <f t="shared" si="9"/>
        <v>-1.1685378277153657E-2</v>
      </c>
    </row>
    <row r="583" spans="1:8" x14ac:dyDescent="0.35">
      <c r="A583" s="1">
        <v>44309</v>
      </c>
      <c r="B583">
        <v>132.16000399999999</v>
      </c>
      <c r="C583">
        <v>135.11999499999999</v>
      </c>
      <c r="D583">
        <v>132.16000399999999</v>
      </c>
      <c r="E583">
        <v>134.320007</v>
      </c>
      <c r="F583">
        <v>132.92503400000001</v>
      </c>
      <c r="G583">
        <v>78657500</v>
      </c>
      <c r="H583" s="2">
        <f t="shared" si="9"/>
        <v>1.8038539972130785E-2</v>
      </c>
    </row>
    <row r="584" spans="1:8" x14ac:dyDescent="0.35">
      <c r="A584" s="1">
        <v>44312</v>
      </c>
      <c r="B584">
        <v>134.83000200000001</v>
      </c>
      <c r="C584">
        <v>135.05999800000001</v>
      </c>
      <c r="D584">
        <v>133.55999800000001</v>
      </c>
      <c r="E584">
        <v>134.720001</v>
      </c>
      <c r="F584">
        <v>133.320877</v>
      </c>
      <c r="G584">
        <v>66905100</v>
      </c>
      <c r="H584" s="2">
        <f t="shared" si="9"/>
        <v>2.9779182486193712E-3</v>
      </c>
    </row>
    <row r="585" spans="1:8" x14ac:dyDescent="0.35">
      <c r="A585" s="1">
        <v>44313</v>
      </c>
      <c r="B585">
        <v>135.009995</v>
      </c>
      <c r="C585">
        <v>135.41000399999999</v>
      </c>
      <c r="D585">
        <v>134.11000100000001</v>
      </c>
      <c r="E585">
        <v>134.38999899999999</v>
      </c>
      <c r="F585">
        <v>132.99432400000001</v>
      </c>
      <c r="G585">
        <v>66015800</v>
      </c>
      <c r="H585" s="2">
        <f t="shared" si="9"/>
        <v>-2.4495397680408537E-3</v>
      </c>
    </row>
    <row r="586" spans="1:8" x14ac:dyDescent="0.35">
      <c r="A586" s="1">
        <v>44314</v>
      </c>
      <c r="B586">
        <v>134.30999800000001</v>
      </c>
      <c r="C586">
        <v>135.020004</v>
      </c>
      <c r="D586">
        <v>133.08000200000001</v>
      </c>
      <c r="E586">
        <v>133.58000200000001</v>
      </c>
      <c r="F586">
        <v>132.192734</v>
      </c>
      <c r="G586">
        <v>107760100</v>
      </c>
      <c r="H586" s="2">
        <f t="shared" si="9"/>
        <v>-6.0272118909679984E-3</v>
      </c>
    </row>
    <row r="587" spans="1:8" x14ac:dyDescent="0.35">
      <c r="A587" s="1">
        <v>44315</v>
      </c>
      <c r="B587">
        <v>136.470001</v>
      </c>
      <c r="C587">
        <v>137.070007</v>
      </c>
      <c r="D587">
        <v>132.449997</v>
      </c>
      <c r="E587">
        <v>133.479996</v>
      </c>
      <c r="F587">
        <v>132.09376499999999</v>
      </c>
      <c r="G587">
        <v>151101000</v>
      </c>
      <c r="H587" s="2">
        <f t="shared" si="9"/>
        <v>-7.4865996782969013E-4</v>
      </c>
    </row>
    <row r="588" spans="1:8" x14ac:dyDescent="0.35">
      <c r="A588" s="1">
        <v>44316</v>
      </c>
      <c r="B588">
        <v>131.779999</v>
      </c>
      <c r="C588">
        <v>133.55999800000001</v>
      </c>
      <c r="D588">
        <v>131.070007</v>
      </c>
      <c r="E588">
        <v>131.46000699999999</v>
      </c>
      <c r="F588">
        <v>130.094742</v>
      </c>
      <c r="G588">
        <v>109839500</v>
      </c>
      <c r="H588" s="2">
        <f t="shared" si="9"/>
        <v>-1.5133271355507127E-2</v>
      </c>
    </row>
    <row r="589" spans="1:8" x14ac:dyDescent="0.35">
      <c r="A589" s="1">
        <v>44319</v>
      </c>
      <c r="B589">
        <v>132.03999300000001</v>
      </c>
      <c r="C589">
        <v>134.070007</v>
      </c>
      <c r="D589">
        <v>131.83000200000001</v>
      </c>
      <c r="E589">
        <v>132.53999300000001</v>
      </c>
      <c r="F589">
        <v>131.16351299999999</v>
      </c>
      <c r="G589">
        <v>75135100</v>
      </c>
      <c r="H589" s="2">
        <f t="shared" si="9"/>
        <v>8.2153198120551441E-3</v>
      </c>
    </row>
    <row r="590" spans="1:8" x14ac:dyDescent="0.35">
      <c r="A590" s="1">
        <v>44320</v>
      </c>
      <c r="B590">
        <v>131.19000199999999</v>
      </c>
      <c r="C590">
        <v>131.490005</v>
      </c>
      <c r="D590">
        <v>126.699997</v>
      </c>
      <c r="E590">
        <v>127.849998</v>
      </c>
      <c r="F590">
        <v>126.52224</v>
      </c>
      <c r="G590">
        <v>137564700</v>
      </c>
      <c r="H590" s="2">
        <f t="shared" si="9"/>
        <v>-3.5385508131119403E-2</v>
      </c>
    </row>
    <row r="591" spans="1:8" x14ac:dyDescent="0.35">
      <c r="A591" s="1">
        <v>44321</v>
      </c>
      <c r="B591">
        <v>129.199997</v>
      </c>
      <c r="C591">
        <v>130.449997</v>
      </c>
      <c r="D591">
        <v>127.970001</v>
      </c>
      <c r="E591">
        <v>128.10000600000001</v>
      </c>
      <c r="F591">
        <v>126.76964599999999</v>
      </c>
      <c r="G591">
        <v>84000900</v>
      </c>
      <c r="H591" s="2">
        <f t="shared" si="9"/>
        <v>1.9554791076337175E-3</v>
      </c>
    </row>
    <row r="592" spans="1:8" x14ac:dyDescent="0.35">
      <c r="A592" s="1">
        <v>44322</v>
      </c>
      <c r="B592">
        <v>127.889999</v>
      </c>
      <c r="C592">
        <v>129.75</v>
      </c>
      <c r="D592">
        <v>127.129997</v>
      </c>
      <c r="E592">
        <v>129.740005</v>
      </c>
      <c r="F592">
        <v>128.39262400000001</v>
      </c>
      <c r="G592">
        <v>78128300</v>
      </c>
      <c r="H592" s="2">
        <f t="shared" si="9"/>
        <v>1.2802489642350201E-2</v>
      </c>
    </row>
    <row r="593" spans="1:8" x14ac:dyDescent="0.35">
      <c r="A593" s="1">
        <v>44323</v>
      </c>
      <c r="B593">
        <v>130.85000600000001</v>
      </c>
      <c r="C593">
        <v>131.259995</v>
      </c>
      <c r="D593">
        <v>129.479996</v>
      </c>
      <c r="E593">
        <v>130.21000699999999</v>
      </c>
      <c r="F593">
        <v>129.07659899999999</v>
      </c>
      <c r="G593">
        <v>78973300</v>
      </c>
      <c r="H593" s="2">
        <f t="shared" si="9"/>
        <v>3.622645150969328E-3</v>
      </c>
    </row>
    <row r="594" spans="1:8" x14ac:dyDescent="0.35">
      <c r="A594" s="1">
        <v>44326</v>
      </c>
      <c r="B594">
        <v>129.41000399999999</v>
      </c>
      <c r="C594">
        <v>129.53999300000001</v>
      </c>
      <c r="D594">
        <v>126.80999799999999</v>
      </c>
      <c r="E594">
        <v>126.849998</v>
      </c>
      <c r="F594">
        <v>125.745842</v>
      </c>
      <c r="G594">
        <v>88071200</v>
      </c>
      <c r="H594" s="2">
        <f t="shared" si="9"/>
        <v>-2.5804537434668817E-2</v>
      </c>
    </row>
    <row r="595" spans="1:8" x14ac:dyDescent="0.35">
      <c r="A595" s="1">
        <v>44327</v>
      </c>
      <c r="B595">
        <v>123.5</v>
      </c>
      <c r="C595">
        <v>126.269997</v>
      </c>
      <c r="D595">
        <v>122.769997</v>
      </c>
      <c r="E595">
        <v>125.910004</v>
      </c>
      <c r="F595">
        <v>124.814041</v>
      </c>
      <c r="G595">
        <v>126142800</v>
      </c>
      <c r="H595" s="2">
        <f t="shared" si="9"/>
        <v>-7.4102799749353743E-3</v>
      </c>
    </row>
    <row r="596" spans="1:8" x14ac:dyDescent="0.35">
      <c r="A596" s="1">
        <v>44328</v>
      </c>
      <c r="B596">
        <v>123.400002</v>
      </c>
      <c r="C596">
        <v>124.639999</v>
      </c>
      <c r="D596">
        <v>122.25</v>
      </c>
      <c r="E596">
        <v>122.769997</v>
      </c>
      <c r="F596">
        <v>121.70135500000001</v>
      </c>
      <c r="G596">
        <v>112172300</v>
      </c>
      <c r="H596" s="2">
        <f t="shared" si="9"/>
        <v>-2.4938502900849646E-2</v>
      </c>
    </row>
    <row r="597" spans="1:8" x14ac:dyDescent="0.35">
      <c r="A597" s="1">
        <v>44329</v>
      </c>
      <c r="B597">
        <v>124.58000199999999</v>
      </c>
      <c r="C597">
        <v>126.150002</v>
      </c>
      <c r="D597">
        <v>124.260002</v>
      </c>
      <c r="E597">
        <v>124.970001</v>
      </c>
      <c r="F597">
        <v>123.88220200000001</v>
      </c>
      <c r="G597">
        <v>105861300</v>
      </c>
      <c r="H597" s="2">
        <f t="shared" si="9"/>
        <v>1.7919720239139458E-2</v>
      </c>
    </row>
    <row r="598" spans="1:8" x14ac:dyDescent="0.35">
      <c r="A598" s="1">
        <v>44330</v>
      </c>
      <c r="B598">
        <v>126.25</v>
      </c>
      <c r="C598">
        <v>127.889999</v>
      </c>
      <c r="D598">
        <v>125.849998</v>
      </c>
      <c r="E598">
        <v>127.449997</v>
      </c>
      <c r="F598">
        <v>126.340614</v>
      </c>
      <c r="G598">
        <v>81918000</v>
      </c>
      <c r="H598" s="2">
        <f t="shared" si="9"/>
        <v>1.9844730576580538E-2</v>
      </c>
    </row>
    <row r="599" spans="1:8" x14ac:dyDescent="0.35">
      <c r="A599" s="1">
        <v>44333</v>
      </c>
      <c r="B599">
        <v>126.82</v>
      </c>
      <c r="C599">
        <v>126.93</v>
      </c>
      <c r="D599">
        <v>125.16999800000001</v>
      </c>
      <c r="E599">
        <v>126.269997</v>
      </c>
      <c r="F599">
        <v>125.170891</v>
      </c>
      <c r="G599">
        <v>74244600</v>
      </c>
      <c r="H599" s="2">
        <f t="shared" si="9"/>
        <v>-9.2585329758775314E-3</v>
      </c>
    </row>
    <row r="600" spans="1:8" x14ac:dyDescent="0.35">
      <c r="A600" s="1">
        <v>44334</v>
      </c>
      <c r="B600">
        <v>126.55999799999999</v>
      </c>
      <c r="C600">
        <v>126.989998</v>
      </c>
      <c r="D600">
        <v>124.779999</v>
      </c>
      <c r="E600">
        <v>124.849998</v>
      </c>
      <c r="F600">
        <v>123.763245</v>
      </c>
      <c r="G600">
        <v>63342900</v>
      </c>
      <c r="H600" s="2">
        <f t="shared" si="9"/>
        <v>-1.124573559623987E-2</v>
      </c>
    </row>
    <row r="601" spans="1:8" x14ac:dyDescent="0.35">
      <c r="A601" s="1">
        <v>44335</v>
      </c>
      <c r="B601">
        <v>123.160004</v>
      </c>
      <c r="C601">
        <v>124.91999800000001</v>
      </c>
      <c r="D601">
        <v>122.860001</v>
      </c>
      <c r="E601">
        <v>124.69000200000001</v>
      </c>
      <c r="F601">
        <v>123.60466</v>
      </c>
      <c r="G601">
        <v>92612000</v>
      </c>
      <c r="H601" s="2">
        <f t="shared" si="9"/>
        <v>-1.2815058274969759E-3</v>
      </c>
    </row>
    <row r="602" spans="1:8" x14ac:dyDescent="0.35">
      <c r="A602" s="1">
        <v>44336</v>
      </c>
      <c r="B602">
        <v>125.230003</v>
      </c>
      <c r="C602">
        <v>127.720001</v>
      </c>
      <c r="D602">
        <v>125.099998</v>
      </c>
      <c r="E602">
        <v>127.30999799999999</v>
      </c>
      <c r="F602">
        <v>126.201843</v>
      </c>
      <c r="G602">
        <v>76857100</v>
      </c>
      <c r="H602" s="2">
        <f t="shared" si="9"/>
        <v>2.1012077616294977E-2</v>
      </c>
    </row>
    <row r="603" spans="1:8" x14ac:dyDescent="0.35">
      <c r="A603" s="1">
        <v>44337</v>
      </c>
      <c r="B603">
        <v>127.82</v>
      </c>
      <c r="C603">
        <v>128</v>
      </c>
      <c r="D603">
        <v>125.209999</v>
      </c>
      <c r="E603">
        <v>125.43</v>
      </c>
      <c r="F603">
        <v>124.33820299999999</v>
      </c>
      <c r="G603">
        <v>79295400</v>
      </c>
      <c r="H603" s="2">
        <f t="shared" si="9"/>
        <v>-1.4767088441867582E-2</v>
      </c>
    </row>
    <row r="604" spans="1:8" x14ac:dyDescent="0.35">
      <c r="A604" s="1">
        <v>44340</v>
      </c>
      <c r="B604">
        <v>126.010002</v>
      </c>
      <c r="C604">
        <v>127.94000200000001</v>
      </c>
      <c r="D604">
        <v>125.94000200000001</v>
      </c>
      <c r="E604">
        <v>127.099998</v>
      </c>
      <c r="F604">
        <v>125.99366000000001</v>
      </c>
      <c r="G604">
        <v>63092900</v>
      </c>
      <c r="H604" s="2">
        <f t="shared" si="9"/>
        <v>1.3314183209758301E-2</v>
      </c>
    </row>
    <row r="605" spans="1:8" x14ac:dyDescent="0.35">
      <c r="A605" s="1">
        <v>44341</v>
      </c>
      <c r="B605">
        <v>127.82</v>
      </c>
      <c r="C605">
        <v>128.320007</v>
      </c>
      <c r="D605">
        <v>126.32</v>
      </c>
      <c r="E605">
        <v>126.900002</v>
      </c>
      <c r="F605">
        <v>125.79540299999999</v>
      </c>
      <c r="G605">
        <v>72009500</v>
      </c>
      <c r="H605" s="2">
        <f t="shared" si="9"/>
        <v>-1.5735326762160717E-3</v>
      </c>
    </row>
    <row r="606" spans="1:8" x14ac:dyDescent="0.35">
      <c r="A606" s="1">
        <v>44342</v>
      </c>
      <c r="B606">
        <v>126.959999</v>
      </c>
      <c r="C606">
        <v>127.389999</v>
      </c>
      <c r="D606">
        <v>126.41999800000001</v>
      </c>
      <c r="E606">
        <v>126.849998</v>
      </c>
      <c r="F606">
        <v>125.745842</v>
      </c>
      <c r="G606">
        <v>56575900</v>
      </c>
      <c r="H606" s="2">
        <f t="shared" si="9"/>
        <v>-3.9404254698116592E-4</v>
      </c>
    </row>
    <row r="607" spans="1:8" x14ac:dyDescent="0.35">
      <c r="A607" s="1">
        <v>44343</v>
      </c>
      <c r="B607">
        <v>126.44000200000001</v>
      </c>
      <c r="C607">
        <v>127.639999</v>
      </c>
      <c r="D607">
        <v>125.08000199999999</v>
      </c>
      <c r="E607">
        <v>125.279999</v>
      </c>
      <c r="F607">
        <v>124.18950700000001</v>
      </c>
      <c r="G607">
        <v>94625600</v>
      </c>
      <c r="H607" s="2">
        <f t="shared" si="9"/>
        <v>-1.2376815331128332E-2</v>
      </c>
    </row>
    <row r="608" spans="1:8" x14ac:dyDescent="0.35">
      <c r="A608" s="1">
        <v>44344</v>
      </c>
      <c r="B608">
        <v>125.57</v>
      </c>
      <c r="C608">
        <v>125.800003</v>
      </c>
      <c r="D608">
        <v>124.550003</v>
      </c>
      <c r="E608">
        <v>124.610001</v>
      </c>
      <c r="F608">
        <v>123.525345</v>
      </c>
      <c r="G608">
        <v>71311100</v>
      </c>
      <c r="H608" s="2">
        <f t="shared" si="9"/>
        <v>-5.348004512675697E-3</v>
      </c>
    </row>
    <row r="609" spans="1:8" x14ac:dyDescent="0.35">
      <c r="A609" s="1">
        <v>44348</v>
      </c>
      <c r="B609">
        <v>125.08000199999999</v>
      </c>
      <c r="C609">
        <v>125.349998</v>
      </c>
      <c r="D609">
        <v>123.94000200000001</v>
      </c>
      <c r="E609">
        <v>124.279999</v>
      </c>
      <c r="F609">
        <v>123.198196</v>
      </c>
      <c r="G609">
        <v>67637100</v>
      </c>
      <c r="H609" s="2">
        <f t="shared" si="9"/>
        <v>-2.6482786080709309E-3</v>
      </c>
    </row>
    <row r="610" spans="1:8" x14ac:dyDescent="0.35">
      <c r="A610" s="1">
        <v>44349</v>
      </c>
      <c r="B610">
        <v>124.279999</v>
      </c>
      <c r="C610">
        <v>125.239998</v>
      </c>
      <c r="D610">
        <v>124.050003</v>
      </c>
      <c r="E610">
        <v>125.05999799999999</v>
      </c>
      <c r="F610">
        <v>123.971428</v>
      </c>
      <c r="G610">
        <v>59278900</v>
      </c>
      <c r="H610" s="2">
        <f t="shared" si="9"/>
        <v>6.2761426317681224E-3</v>
      </c>
    </row>
    <row r="611" spans="1:8" x14ac:dyDescent="0.35">
      <c r="A611" s="1">
        <v>44350</v>
      </c>
      <c r="B611">
        <v>124.68</v>
      </c>
      <c r="C611">
        <v>124.849998</v>
      </c>
      <c r="D611">
        <v>123.129997</v>
      </c>
      <c r="E611">
        <v>123.540001</v>
      </c>
      <c r="F611">
        <v>122.46466100000001</v>
      </c>
      <c r="G611">
        <v>76229200</v>
      </c>
      <c r="H611" s="2">
        <f t="shared" si="9"/>
        <v>-1.2154142206207252E-2</v>
      </c>
    </row>
    <row r="612" spans="1:8" x14ac:dyDescent="0.35">
      <c r="A612" s="1">
        <v>44351</v>
      </c>
      <c r="B612">
        <v>124.07</v>
      </c>
      <c r="C612">
        <v>126.160004</v>
      </c>
      <c r="D612">
        <v>123.849998</v>
      </c>
      <c r="E612">
        <v>125.889999</v>
      </c>
      <c r="F612">
        <v>124.794197</v>
      </c>
      <c r="G612">
        <v>75169300</v>
      </c>
      <c r="H612" s="2">
        <f t="shared" si="9"/>
        <v>1.9022162708255186E-2</v>
      </c>
    </row>
    <row r="613" spans="1:8" x14ac:dyDescent="0.35">
      <c r="A613" s="1">
        <v>44354</v>
      </c>
      <c r="B613">
        <v>126.16999800000001</v>
      </c>
      <c r="C613">
        <v>126.32</v>
      </c>
      <c r="D613">
        <v>124.83000199999999</v>
      </c>
      <c r="E613">
        <v>125.900002</v>
      </c>
      <c r="F613">
        <v>124.804108</v>
      </c>
      <c r="G613">
        <v>71057600</v>
      </c>
      <c r="H613" s="2">
        <f t="shared" si="9"/>
        <v>7.9458257839837287E-5</v>
      </c>
    </row>
    <row r="614" spans="1:8" x14ac:dyDescent="0.35">
      <c r="A614" s="1">
        <v>44355</v>
      </c>
      <c r="B614">
        <v>126.599998</v>
      </c>
      <c r="C614">
        <v>128.46000699999999</v>
      </c>
      <c r="D614">
        <v>126.209999</v>
      </c>
      <c r="E614">
        <v>126.739998</v>
      </c>
      <c r="F614">
        <v>125.63679500000001</v>
      </c>
      <c r="G614">
        <v>74403800</v>
      </c>
      <c r="H614" s="2">
        <f t="shared" si="9"/>
        <v>6.6719299972688439E-3</v>
      </c>
    </row>
    <row r="615" spans="1:8" x14ac:dyDescent="0.35">
      <c r="A615" s="1">
        <v>44356</v>
      </c>
      <c r="B615">
        <v>127.209999</v>
      </c>
      <c r="C615">
        <v>127.75</v>
      </c>
      <c r="D615">
        <v>126.519997</v>
      </c>
      <c r="E615">
        <v>127.129997</v>
      </c>
      <c r="F615">
        <v>126.02340700000001</v>
      </c>
      <c r="G615">
        <v>56877900</v>
      </c>
      <c r="H615" s="2">
        <f t="shared" si="9"/>
        <v>3.0771580097390672E-3</v>
      </c>
    </row>
    <row r="616" spans="1:8" x14ac:dyDescent="0.35">
      <c r="A616" s="1">
        <v>44357</v>
      </c>
      <c r="B616">
        <v>127.019997</v>
      </c>
      <c r="C616">
        <v>128.19000199999999</v>
      </c>
      <c r="D616">
        <v>125.94000200000001</v>
      </c>
      <c r="E616">
        <v>126.110001</v>
      </c>
      <c r="F616">
        <v>125.012276</v>
      </c>
      <c r="G616">
        <v>71186400</v>
      </c>
      <c r="H616" s="2">
        <f t="shared" si="9"/>
        <v>-8.0232519788386858E-3</v>
      </c>
    </row>
    <row r="617" spans="1:8" x14ac:dyDescent="0.35">
      <c r="A617" s="1">
        <v>44358</v>
      </c>
      <c r="B617">
        <v>126.529999</v>
      </c>
      <c r="C617">
        <v>127.44000200000001</v>
      </c>
      <c r="D617">
        <v>126.099998</v>
      </c>
      <c r="E617">
        <v>127.349998</v>
      </c>
      <c r="F617">
        <v>126.24149300000001</v>
      </c>
      <c r="G617">
        <v>53522400</v>
      </c>
      <c r="H617" s="2">
        <f t="shared" si="9"/>
        <v>9.8326618838104896E-3</v>
      </c>
    </row>
    <row r="618" spans="1:8" x14ac:dyDescent="0.35">
      <c r="A618" s="1">
        <v>44361</v>
      </c>
      <c r="B618">
        <v>127.82</v>
      </c>
      <c r="C618">
        <v>130.53999300000001</v>
      </c>
      <c r="D618">
        <v>127.07</v>
      </c>
      <c r="E618">
        <v>130.479996</v>
      </c>
      <c r="F618">
        <v>129.34425400000001</v>
      </c>
      <c r="G618">
        <v>96906500</v>
      </c>
      <c r="H618" s="2">
        <f t="shared" si="9"/>
        <v>2.4577919506524104E-2</v>
      </c>
    </row>
    <row r="619" spans="1:8" x14ac:dyDescent="0.35">
      <c r="A619" s="1">
        <v>44362</v>
      </c>
      <c r="B619">
        <v>129.94000199999999</v>
      </c>
      <c r="C619">
        <v>130.60000600000001</v>
      </c>
      <c r="D619">
        <v>129.38999899999999</v>
      </c>
      <c r="E619">
        <v>129.63999899999999</v>
      </c>
      <c r="F619">
        <v>128.511551</v>
      </c>
      <c r="G619">
        <v>62746300</v>
      </c>
      <c r="H619" s="2">
        <f t="shared" si="9"/>
        <v>-6.4377454456697736E-3</v>
      </c>
    </row>
    <row r="620" spans="1:8" x14ac:dyDescent="0.35">
      <c r="A620" s="1">
        <v>44363</v>
      </c>
      <c r="B620">
        <v>130.36999499999999</v>
      </c>
      <c r="C620">
        <v>130.88999899999999</v>
      </c>
      <c r="D620">
        <v>128.46000699999999</v>
      </c>
      <c r="E620">
        <v>130.14999399999999</v>
      </c>
      <c r="F620">
        <v>129.01710499999999</v>
      </c>
      <c r="G620">
        <v>91815000</v>
      </c>
      <c r="H620" s="2">
        <f t="shared" si="9"/>
        <v>3.9339324586080693E-3</v>
      </c>
    </row>
    <row r="621" spans="1:8" x14ac:dyDescent="0.35">
      <c r="A621" s="1">
        <v>44364</v>
      </c>
      <c r="B621">
        <v>129.800003</v>
      </c>
      <c r="C621">
        <v>132.550003</v>
      </c>
      <c r="D621">
        <v>129.64999399999999</v>
      </c>
      <c r="E621">
        <v>131.78999300000001</v>
      </c>
      <c r="F621">
        <v>130.64283800000001</v>
      </c>
      <c r="G621">
        <v>96721700</v>
      </c>
      <c r="H621" s="2">
        <f t="shared" si="9"/>
        <v>1.2600838076104903E-2</v>
      </c>
    </row>
    <row r="622" spans="1:8" x14ac:dyDescent="0.35">
      <c r="A622" s="1">
        <v>44365</v>
      </c>
      <c r="B622">
        <v>130.71000699999999</v>
      </c>
      <c r="C622">
        <v>131.509995</v>
      </c>
      <c r="D622">
        <v>130.240005</v>
      </c>
      <c r="E622">
        <v>130.46000699999999</v>
      </c>
      <c r="F622">
        <v>129.324432</v>
      </c>
      <c r="G622">
        <v>108953300</v>
      </c>
      <c r="H622" s="2">
        <f t="shared" si="9"/>
        <v>-1.00917070387887E-2</v>
      </c>
    </row>
    <row r="623" spans="1:8" x14ac:dyDescent="0.35">
      <c r="A623" s="1">
        <v>44368</v>
      </c>
      <c r="B623">
        <v>130.300003</v>
      </c>
      <c r="C623">
        <v>132.41000399999999</v>
      </c>
      <c r="D623">
        <v>129.21000699999999</v>
      </c>
      <c r="E623">
        <v>132.300003</v>
      </c>
      <c r="F623">
        <v>131.14842200000001</v>
      </c>
      <c r="G623">
        <v>79663300</v>
      </c>
      <c r="H623" s="2">
        <f t="shared" si="9"/>
        <v>1.4103908487449468E-2</v>
      </c>
    </row>
    <row r="624" spans="1:8" x14ac:dyDescent="0.35">
      <c r="A624" s="1">
        <v>44369</v>
      </c>
      <c r="B624">
        <v>132.13000500000001</v>
      </c>
      <c r="C624">
        <v>134.08000200000001</v>
      </c>
      <c r="D624">
        <v>131.61999499999999</v>
      </c>
      <c r="E624">
        <v>133.979996</v>
      </c>
      <c r="F624">
        <v>132.81376599999999</v>
      </c>
      <c r="G624">
        <v>74783600</v>
      </c>
      <c r="H624" s="2">
        <f t="shared" si="9"/>
        <v>1.2698359500415091E-2</v>
      </c>
    </row>
    <row r="625" spans="1:8" x14ac:dyDescent="0.35">
      <c r="A625" s="1">
        <v>44370</v>
      </c>
      <c r="B625">
        <v>133.770004</v>
      </c>
      <c r="C625">
        <v>134.320007</v>
      </c>
      <c r="D625">
        <v>133.229996</v>
      </c>
      <c r="E625">
        <v>133.699997</v>
      </c>
      <c r="F625">
        <v>132.53620900000001</v>
      </c>
      <c r="G625">
        <v>60214200</v>
      </c>
      <c r="H625" s="2">
        <f t="shared" si="9"/>
        <v>-2.0898567574222371E-3</v>
      </c>
    </row>
    <row r="626" spans="1:8" x14ac:dyDescent="0.35">
      <c r="A626" s="1">
        <v>44371</v>
      </c>
      <c r="B626">
        <v>134.449997</v>
      </c>
      <c r="C626">
        <v>134.63999899999999</v>
      </c>
      <c r="D626">
        <v>132.929993</v>
      </c>
      <c r="E626">
        <v>133.41000399999999</v>
      </c>
      <c r="F626">
        <v>132.24876399999999</v>
      </c>
      <c r="G626">
        <v>68711000</v>
      </c>
      <c r="H626" s="2">
        <f t="shared" si="9"/>
        <v>-2.1689828459757754E-3</v>
      </c>
    </row>
    <row r="627" spans="1:8" x14ac:dyDescent="0.35">
      <c r="A627" s="1">
        <v>44372</v>
      </c>
      <c r="B627">
        <v>133.46000699999999</v>
      </c>
      <c r="C627">
        <v>133.88999899999999</v>
      </c>
      <c r="D627">
        <v>132.80999800000001</v>
      </c>
      <c r="E627">
        <v>133.11000100000001</v>
      </c>
      <c r="F627">
        <v>131.95135500000001</v>
      </c>
      <c r="G627">
        <v>70783700</v>
      </c>
      <c r="H627" s="2">
        <f t="shared" si="9"/>
        <v>-2.2487294131253721E-3</v>
      </c>
    </row>
    <row r="628" spans="1:8" x14ac:dyDescent="0.35">
      <c r="A628" s="1">
        <v>44375</v>
      </c>
      <c r="B628">
        <v>133.41000399999999</v>
      </c>
      <c r="C628">
        <v>135.25</v>
      </c>
      <c r="D628">
        <v>133.35000600000001</v>
      </c>
      <c r="E628">
        <v>134.779999</v>
      </c>
      <c r="F628">
        <v>133.60681199999999</v>
      </c>
      <c r="G628">
        <v>62111300</v>
      </c>
      <c r="H628" s="2">
        <f t="shared" si="9"/>
        <v>1.2545999454992129E-2</v>
      </c>
    </row>
    <row r="629" spans="1:8" x14ac:dyDescent="0.35">
      <c r="A629" s="1">
        <v>44376</v>
      </c>
      <c r="B629">
        <v>134.800003</v>
      </c>
      <c r="C629">
        <v>136.490005</v>
      </c>
      <c r="D629">
        <v>134.35000600000001</v>
      </c>
      <c r="E629">
        <v>136.33000200000001</v>
      </c>
      <c r="F629">
        <v>135.143326</v>
      </c>
      <c r="G629">
        <v>64556100</v>
      </c>
      <c r="H629" s="2">
        <f t="shared" si="9"/>
        <v>1.1500244928774661E-2</v>
      </c>
    </row>
    <row r="630" spans="1:8" x14ac:dyDescent="0.35">
      <c r="A630" s="1">
        <v>44377</v>
      </c>
      <c r="B630">
        <v>136.16999799999999</v>
      </c>
      <c r="C630">
        <v>137.41000399999999</v>
      </c>
      <c r="D630">
        <v>135.86999499999999</v>
      </c>
      <c r="E630">
        <v>136.96000699999999</v>
      </c>
      <c r="F630">
        <v>135.767853</v>
      </c>
      <c r="G630">
        <v>63261400</v>
      </c>
      <c r="H630" s="2">
        <f t="shared" si="9"/>
        <v>4.6211764890899953E-3</v>
      </c>
    </row>
    <row r="631" spans="1:8" x14ac:dyDescent="0.35">
      <c r="A631" s="1">
        <v>44378</v>
      </c>
      <c r="B631">
        <v>136.60000600000001</v>
      </c>
      <c r="C631">
        <v>137.33000200000001</v>
      </c>
      <c r="D631">
        <v>135.759995</v>
      </c>
      <c r="E631">
        <v>137.270004</v>
      </c>
      <c r="F631">
        <v>136.075165</v>
      </c>
      <c r="G631">
        <v>52485800</v>
      </c>
      <c r="H631" s="2">
        <f t="shared" si="9"/>
        <v>2.2634125595510923E-3</v>
      </c>
    </row>
    <row r="632" spans="1:8" x14ac:dyDescent="0.35">
      <c r="A632" s="1">
        <v>44379</v>
      </c>
      <c r="B632">
        <v>137.89999399999999</v>
      </c>
      <c r="C632">
        <v>140</v>
      </c>
      <c r="D632">
        <v>137.75</v>
      </c>
      <c r="E632">
        <v>139.96000699999999</v>
      </c>
      <c r="F632">
        <v>138.74172999999999</v>
      </c>
      <c r="G632">
        <v>78852600</v>
      </c>
      <c r="H632" s="2">
        <f t="shared" si="9"/>
        <v>1.9596437106536246E-2</v>
      </c>
    </row>
    <row r="633" spans="1:8" x14ac:dyDescent="0.35">
      <c r="A633" s="1">
        <v>44383</v>
      </c>
      <c r="B633">
        <v>140.070007</v>
      </c>
      <c r="C633">
        <v>143.14999399999999</v>
      </c>
      <c r="D633">
        <v>140.070007</v>
      </c>
      <c r="E633">
        <v>142.020004</v>
      </c>
      <c r="F633">
        <v>140.783783</v>
      </c>
      <c r="G633">
        <v>108181800</v>
      </c>
      <c r="H633" s="2">
        <f t="shared" si="9"/>
        <v>1.4718468826598441E-2</v>
      </c>
    </row>
    <row r="634" spans="1:8" x14ac:dyDescent="0.35">
      <c r="A634" s="1">
        <v>44384</v>
      </c>
      <c r="B634">
        <v>143.53999300000001</v>
      </c>
      <c r="C634">
        <v>144.88999899999999</v>
      </c>
      <c r="D634">
        <v>142.66000399999999</v>
      </c>
      <c r="E634">
        <v>144.570007</v>
      </c>
      <c r="F634">
        <v>143.31161499999999</v>
      </c>
      <c r="G634">
        <v>104911600</v>
      </c>
      <c r="H634" s="2">
        <f t="shared" si="9"/>
        <v>1.7955238193064771E-2</v>
      </c>
    </row>
    <row r="635" spans="1:8" x14ac:dyDescent="0.35">
      <c r="A635" s="1">
        <v>44385</v>
      </c>
      <c r="B635">
        <v>141.58000200000001</v>
      </c>
      <c r="C635">
        <v>144.05999800000001</v>
      </c>
      <c r="D635">
        <v>140.66999799999999</v>
      </c>
      <c r="E635">
        <v>143.240005</v>
      </c>
      <c r="F635">
        <v>141.99319499999999</v>
      </c>
      <c r="G635">
        <v>105575500</v>
      </c>
      <c r="H635" s="2">
        <f t="shared" si="9"/>
        <v>-9.1997090378505009E-3</v>
      </c>
    </row>
    <row r="636" spans="1:8" x14ac:dyDescent="0.35">
      <c r="A636" s="1">
        <v>44386</v>
      </c>
      <c r="B636">
        <v>142.75</v>
      </c>
      <c r="C636">
        <v>145.64999399999999</v>
      </c>
      <c r="D636">
        <v>142.64999399999999</v>
      </c>
      <c r="E636">
        <v>145.11000100000001</v>
      </c>
      <c r="F636">
        <v>143.84689299999999</v>
      </c>
      <c r="G636">
        <v>99890800</v>
      </c>
      <c r="H636" s="2">
        <f t="shared" si="9"/>
        <v>1.3054984185458585E-2</v>
      </c>
    </row>
    <row r="637" spans="1:8" x14ac:dyDescent="0.35">
      <c r="A637" s="1">
        <v>44389</v>
      </c>
      <c r="B637">
        <v>146.21000699999999</v>
      </c>
      <c r="C637">
        <v>146.320007</v>
      </c>
      <c r="D637">
        <v>144</v>
      </c>
      <c r="E637">
        <v>144.5</v>
      </c>
      <c r="F637">
        <v>143.24220299999999</v>
      </c>
      <c r="G637">
        <v>76299700</v>
      </c>
      <c r="H637" s="2">
        <f t="shared" si="9"/>
        <v>-4.2037143945716782E-3</v>
      </c>
    </row>
    <row r="638" spans="1:8" x14ac:dyDescent="0.35">
      <c r="A638" s="1">
        <v>44390</v>
      </c>
      <c r="B638">
        <v>144.029999</v>
      </c>
      <c r="C638">
        <v>147.46000699999999</v>
      </c>
      <c r="D638">
        <v>143.63000500000001</v>
      </c>
      <c r="E638">
        <v>145.63999899999999</v>
      </c>
      <c r="F638">
        <v>144.37228400000001</v>
      </c>
      <c r="G638">
        <v>100827100</v>
      </c>
      <c r="H638" s="2">
        <f t="shared" si="9"/>
        <v>7.8892664359859754E-3</v>
      </c>
    </row>
    <row r="639" spans="1:8" x14ac:dyDescent="0.35">
      <c r="A639" s="1">
        <v>44391</v>
      </c>
      <c r="B639">
        <v>148.10000600000001</v>
      </c>
      <c r="C639">
        <v>149.570007</v>
      </c>
      <c r="D639">
        <v>147.679993</v>
      </c>
      <c r="E639">
        <v>149.14999399999999</v>
      </c>
      <c r="F639">
        <v>147.85169999999999</v>
      </c>
      <c r="G639">
        <v>127050800</v>
      </c>
      <c r="H639" s="2">
        <f t="shared" si="9"/>
        <v>2.410048766891304E-2</v>
      </c>
    </row>
    <row r="640" spans="1:8" x14ac:dyDescent="0.35">
      <c r="A640" s="1">
        <v>44392</v>
      </c>
      <c r="B640">
        <v>149.240005</v>
      </c>
      <c r="C640">
        <v>150</v>
      </c>
      <c r="D640">
        <v>147.08999600000001</v>
      </c>
      <c r="E640">
        <v>148.479996</v>
      </c>
      <c r="F640">
        <v>147.18757600000001</v>
      </c>
      <c r="G640">
        <v>106820300</v>
      </c>
      <c r="H640" s="2">
        <f t="shared" si="9"/>
        <v>-4.4921087961961037E-3</v>
      </c>
    </row>
    <row r="641" spans="1:8" x14ac:dyDescent="0.35">
      <c r="A641" s="1">
        <v>44393</v>
      </c>
      <c r="B641">
        <v>148.46000699999999</v>
      </c>
      <c r="C641">
        <v>149.759995</v>
      </c>
      <c r="D641">
        <v>145.88000500000001</v>
      </c>
      <c r="E641">
        <v>146.38999899999999</v>
      </c>
      <c r="F641">
        <v>145.115768</v>
      </c>
      <c r="G641">
        <v>93251400</v>
      </c>
      <c r="H641" s="2">
        <f t="shared" si="9"/>
        <v>-1.4075950002046089E-2</v>
      </c>
    </row>
    <row r="642" spans="1:8" x14ac:dyDescent="0.35">
      <c r="A642" s="1">
        <v>44396</v>
      </c>
      <c r="B642">
        <v>143.75</v>
      </c>
      <c r="C642">
        <v>144.070007</v>
      </c>
      <c r="D642">
        <v>141.66999799999999</v>
      </c>
      <c r="E642">
        <v>142.449997</v>
      </c>
      <c r="F642">
        <v>141.21005199999999</v>
      </c>
      <c r="G642">
        <v>121434600</v>
      </c>
      <c r="H642" s="2">
        <f t="shared" si="9"/>
        <v>-2.6914420567760167E-2</v>
      </c>
    </row>
    <row r="643" spans="1:8" x14ac:dyDescent="0.35">
      <c r="A643" s="1">
        <v>44397</v>
      </c>
      <c r="B643">
        <v>143.46000699999999</v>
      </c>
      <c r="C643">
        <v>147.10000600000001</v>
      </c>
      <c r="D643">
        <v>142.96000699999999</v>
      </c>
      <c r="E643">
        <v>146.14999399999999</v>
      </c>
      <c r="F643">
        <v>144.877838</v>
      </c>
      <c r="G643">
        <v>96350000</v>
      </c>
      <c r="H643" s="2">
        <f t="shared" si="9"/>
        <v>2.5974005461018024E-2</v>
      </c>
    </row>
    <row r="644" spans="1:8" x14ac:dyDescent="0.35">
      <c r="A644" s="1">
        <v>44398</v>
      </c>
      <c r="B644">
        <v>145.529999</v>
      </c>
      <c r="C644">
        <v>146.13000500000001</v>
      </c>
      <c r="D644">
        <v>144.63000500000001</v>
      </c>
      <c r="E644">
        <v>145.39999399999999</v>
      </c>
      <c r="F644">
        <v>144.13436899999999</v>
      </c>
      <c r="G644">
        <v>74993500</v>
      </c>
      <c r="H644" s="2">
        <f t="shared" ref="H644:H707" si="10">E644/E643-1</f>
        <v>-5.1317142031493956E-3</v>
      </c>
    </row>
    <row r="645" spans="1:8" x14ac:dyDescent="0.35">
      <c r="A645" s="1">
        <v>44399</v>
      </c>
      <c r="B645">
        <v>145.94000199999999</v>
      </c>
      <c r="C645">
        <v>148.199997</v>
      </c>
      <c r="D645">
        <v>145.80999800000001</v>
      </c>
      <c r="E645">
        <v>146.800003</v>
      </c>
      <c r="F645">
        <v>145.522186</v>
      </c>
      <c r="G645">
        <v>77338200</v>
      </c>
      <c r="H645" s="2">
        <f t="shared" si="10"/>
        <v>9.6286730245671581E-3</v>
      </c>
    </row>
    <row r="646" spans="1:8" x14ac:dyDescent="0.35">
      <c r="A646" s="1">
        <v>44400</v>
      </c>
      <c r="B646">
        <v>147.550003</v>
      </c>
      <c r="C646">
        <v>148.720001</v>
      </c>
      <c r="D646">
        <v>146.91999799999999</v>
      </c>
      <c r="E646">
        <v>148.55999800000001</v>
      </c>
      <c r="F646">
        <v>147.26686100000001</v>
      </c>
      <c r="G646">
        <v>71447400</v>
      </c>
      <c r="H646" s="2">
        <f t="shared" si="10"/>
        <v>1.1989066512485103E-2</v>
      </c>
    </row>
    <row r="647" spans="1:8" x14ac:dyDescent="0.35">
      <c r="A647" s="1">
        <v>44403</v>
      </c>
      <c r="B647">
        <v>148.270004</v>
      </c>
      <c r="C647">
        <v>149.83000200000001</v>
      </c>
      <c r="D647">
        <v>147.699997</v>
      </c>
      <c r="E647">
        <v>148.990005</v>
      </c>
      <c r="F647">
        <v>147.69313</v>
      </c>
      <c r="G647">
        <v>72434100</v>
      </c>
      <c r="H647" s="2">
        <f t="shared" si="10"/>
        <v>2.8945005774703159E-3</v>
      </c>
    </row>
    <row r="648" spans="1:8" x14ac:dyDescent="0.35">
      <c r="A648" s="1">
        <v>44404</v>
      </c>
      <c r="B648">
        <v>149.11999499999999</v>
      </c>
      <c r="C648">
        <v>149.21000699999999</v>
      </c>
      <c r="D648">
        <v>145.550003</v>
      </c>
      <c r="E648">
        <v>146.770004</v>
      </c>
      <c r="F648">
        <v>145.492447</v>
      </c>
      <c r="G648">
        <v>104818600</v>
      </c>
      <c r="H648" s="2">
        <f t="shared" si="10"/>
        <v>-1.4900335092947969E-2</v>
      </c>
    </row>
    <row r="649" spans="1:8" x14ac:dyDescent="0.35">
      <c r="A649" s="1">
        <v>44405</v>
      </c>
      <c r="B649">
        <v>144.80999800000001</v>
      </c>
      <c r="C649">
        <v>146.970001</v>
      </c>
      <c r="D649">
        <v>142.53999300000001</v>
      </c>
      <c r="E649">
        <v>144.979996</v>
      </c>
      <c r="F649">
        <v>143.718018</v>
      </c>
      <c r="G649">
        <v>118931200</v>
      </c>
      <c r="H649" s="2">
        <f t="shared" si="10"/>
        <v>-1.2196007026067823E-2</v>
      </c>
    </row>
    <row r="650" spans="1:8" x14ac:dyDescent="0.35">
      <c r="A650" s="1">
        <v>44406</v>
      </c>
      <c r="B650">
        <v>144.69000199999999</v>
      </c>
      <c r="C650">
        <v>146.550003</v>
      </c>
      <c r="D650">
        <v>144.58000200000001</v>
      </c>
      <c r="E650">
        <v>145.63999899999999</v>
      </c>
      <c r="F650">
        <v>144.37228400000001</v>
      </c>
      <c r="G650">
        <v>56699500</v>
      </c>
      <c r="H650" s="2">
        <f t="shared" si="10"/>
        <v>4.5523728666676533E-3</v>
      </c>
    </row>
    <row r="651" spans="1:8" x14ac:dyDescent="0.35">
      <c r="A651" s="1">
        <v>44407</v>
      </c>
      <c r="B651">
        <v>144.38000500000001</v>
      </c>
      <c r="C651">
        <v>146.33000200000001</v>
      </c>
      <c r="D651">
        <v>144.11000100000001</v>
      </c>
      <c r="E651">
        <v>145.86000100000001</v>
      </c>
      <c r="F651">
        <v>144.59037799999999</v>
      </c>
      <c r="G651">
        <v>70440600</v>
      </c>
      <c r="H651" s="2">
        <f t="shared" si="10"/>
        <v>1.510587760990223E-3</v>
      </c>
    </row>
    <row r="652" spans="1:8" x14ac:dyDescent="0.35">
      <c r="A652" s="1">
        <v>44410</v>
      </c>
      <c r="B652">
        <v>146.36000100000001</v>
      </c>
      <c r="C652">
        <v>146.949997</v>
      </c>
      <c r="D652">
        <v>145.25</v>
      </c>
      <c r="E652">
        <v>145.520004</v>
      </c>
      <c r="F652">
        <v>144.25332599999999</v>
      </c>
      <c r="G652">
        <v>62880000</v>
      </c>
      <c r="H652" s="2">
        <f t="shared" si="10"/>
        <v>-2.3309817473537997E-3</v>
      </c>
    </row>
    <row r="653" spans="1:8" x14ac:dyDescent="0.35">
      <c r="A653" s="1">
        <v>44411</v>
      </c>
      <c r="B653">
        <v>145.80999800000001</v>
      </c>
      <c r="C653">
        <v>148.03999300000001</v>
      </c>
      <c r="D653">
        <v>145.179993</v>
      </c>
      <c r="E653">
        <v>147.36000100000001</v>
      </c>
      <c r="F653">
        <v>146.07733200000001</v>
      </c>
      <c r="G653">
        <v>64786600</v>
      </c>
      <c r="H653" s="2">
        <f t="shared" si="10"/>
        <v>1.2644289097188288E-2</v>
      </c>
    </row>
    <row r="654" spans="1:8" x14ac:dyDescent="0.35">
      <c r="A654" s="1">
        <v>44412</v>
      </c>
      <c r="B654">
        <v>147.270004</v>
      </c>
      <c r="C654">
        <v>147.78999300000001</v>
      </c>
      <c r="D654">
        <v>146.279999</v>
      </c>
      <c r="E654">
        <v>146.949997</v>
      </c>
      <c r="F654">
        <v>145.670883</v>
      </c>
      <c r="G654">
        <v>56368300</v>
      </c>
      <c r="H654" s="2">
        <f t="shared" si="10"/>
        <v>-2.7823289713468924E-3</v>
      </c>
    </row>
    <row r="655" spans="1:8" x14ac:dyDescent="0.35">
      <c r="A655" s="1">
        <v>44413</v>
      </c>
      <c r="B655">
        <v>146.979996</v>
      </c>
      <c r="C655">
        <v>147.83999600000001</v>
      </c>
      <c r="D655">
        <v>146.16999799999999</v>
      </c>
      <c r="E655">
        <v>147.05999800000001</v>
      </c>
      <c r="F655">
        <v>145.779922</v>
      </c>
      <c r="G655">
        <v>46397700</v>
      </c>
      <c r="H655" s="2">
        <f t="shared" si="10"/>
        <v>7.4856075022577961E-4</v>
      </c>
    </row>
    <row r="656" spans="1:8" x14ac:dyDescent="0.35">
      <c r="A656" s="1">
        <v>44414</v>
      </c>
      <c r="B656">
        <v>146.35000600000001</v>
      </c>
      <c r="C656">
        <v>147.11000100000001</v>
      </c>
      <c r="D656">
        <v>145.63000500000001</v>
      </c>
      <c r="E656">
        <v>146.13999899999999</v>
      </c>
      <c r="F656">
        <v>145.08497600000001</v>
      </c>
      <c r="G656">
        <v>54126800</v>
      </c>
      <c r="H656" s="2">
        <f t="shared" si="10"/>
        <v>-6.2559432375350887E-3</v>
      </c>
    </row>
    <row r="657" spans="1:8" x14ac:dyDescent="0.35">
      <c r="A657" s="1">
        <v>44417</v>
      </c>
      <c r="B657">
        <v>146.199997</v>
      </c>
      <c r="C657">
        <v>146.699997</v>
      </c>
      <c r="D657">
        <v>145.520004</v>
      </c>
      <c r="E657">
        <v>146.08999600000001</v>
      </c>
      <c r="F657">
        <v>145.03533899999999</v>
      </c>
      <c r="G657">
        <v>48908700</v>
      </c>
      <c r="H657" s="2">
        <f t="shared" si="10"/>
        <v>-3.4215820680261189E-4</v>
      </c>
    </row>
    <row r="658" spans="1:8" x14ac:dyDescent="0.35">
      <c r="A658" s="1">
        <v>44418</v>
      </c>
      <c r="B658">
        <v>146.44000199999999</v>
      </c>
      <c r="C658">
        <v>147.71000699999999</v>
      </c>
      <c r="D658">
        <v>145.300003</v>
      </c>
      <c r="E658">
        <v>145.60000600000001</v>
      </c>
      <c r="F658">
        <v>144.548889</v>
      </c>
      <c r="G658">
        <v>69023100</v>
      </c>
      <c r="H658" s="2">
        <f t="shared" si="10"/>
        <v>-3.3540284305298984E-3</v>
      </c>
    </row>
    <row r="659" spans="1:8" x14ac:dyDescent="0.35">
      <c r="A659" s="1">
        <v>44419</v>
      </c>
      <c r="B659">
        <v>146.050003</v>
      </c>
      <c r="C659">
        <v>146.720001</v>
      </c>
      <c r="D659">
        <v>145.529999</v>
      </c>
      <c r="E659">
        <v>145.86000100000001</v>
      </c>
      <c r="F659">
        <v>144.807007</v>
      </c>
      <c r="G659">
        <v>48493500</v>
      </c>
      <c r="H659" s="2">
        <f t="shared" si="10"/>
        <v>1.7856798714692701E-3</v>
      </c>
    </row>
    <row r="660" spans="1:8" x14ac:dyDescent="0.35">
      <c r="A660" s="1">
        <v>44420</v>
      </c>
      <c r="B660">
        <v>146.19000199999999</v>
      </c>
      <c r="C660">
        <v>149.050003</v>
      </c>
      <c r="D660">
        <v>145.83999600000001</v>
      </c>
      <c r="E660">
        <v>148.88999899999999</v>
      </c>
      <c r="F660">
        <v>147.81512499999999</v>
      </c>
      <c r="G660">
        <v>72282600</v>
      </c>
      <c r="H660" s="2">
        <f t="shared" si="10"/>
        <v>2.0773330448557781E-2</v>
      </c>
    </row>
    <row r="661" spans="1:8" x14ac:dyDescent="0.35">
      <c r="A661" s="1">
        <v>44421</v>
      </c>
      <c r="B661">
        <v>148.970001</v>
      </c>
      <c r="C661">
        <v>149.44000199999999</v>
      </c>
      <c r="D661">
        <v>148.270004</v>
      </c>
      <c r="E661">
        <v>149.10000600000001</v>
      </c>
      <c r="F661">
        <v>148.02362099999999</v>
      </c>
      <c r="G661">
        <v>59375000</v>
      </c>
      <c r="H661" s="2">
        <f t="shared" si="10"/>
        <v>1.410484259591005E-3</v>
      </c>
    </row>
    <row r="662" spans="1:8" x14ac:dyDescent="0.35">
      <c r="A662" s="1">
        <v>44424</v>
      </c>
      <c r="B662">
        <v>148.53999300000001</v>
      </c>
      <c r="C662">
        <v>151.19000199999999</v>
      </c>
      <c r="D662">
        <v>146.470001</v>
      </c>
      <c r="E662">
        <v>151.11999499999999</v>
      </c>
      <c r="F662">
        <v>150.029022</v>
      </c>
      <c r="G662">
        <v>103296000</v>
      </c>
      <c r="H662" s="2">
        <f t="shared" si="10"/>
        <v>1.354788007184915E-2</v>
      </c>
    </row>
    <row r="663" spans="1:8" x14ac:dyDescent="0.35">
      <c r="A663" s="1">
        <v>44425</v>
      </c>
      <c r="B663">
        <v>150.229996</v>
      </c>
      <c r="C663">
        <v>151.679993</v>
      </c>
      <c r="D663">
        <v>149.08999600000001</v>
      </c>
      <c r="E663">
        <v>150.19000199999999</v>
      </c>
      <c r="F663">
        <v>149.10574299999999</v>
      </c>
      <c r="G663">
        <v>92229700</v>
      </c>
      <c r="H663" s="2">
        <f t="shared" si="10"/>
        <v>-6.1540036445871804E-3</v>
      </c>
    </row>
    <row r="664" spans="1:8" x14ac:dyDescent="0.35">
      <c r="A664" s="1">
        <v>44426</v>
      </c>
      <c r="B664">
        <v>149.800003</v>
      </c>
      <c r="C664">
        <v>150.720001</v>
      </c>
      <c r="D664">
        <v>146.14999399999999</v>
      </c>
      <c r="E664">
        <v>146.36000100000001</v>
      </c>
      <c r="F664">
        <v>145.303391</v>
      </c>
      <c r="G664">
        <v>86326000</v>
      </c>
      <c r="H664" s="2">
        <f t="shared" si="10"/>
        <v>-2.5501038344749372E-2</v>
      </c>
    </row>
    <row r="665" spans="1:8" x14ac:dyDescent="0.35">
      <c r="A665" s="1">
        <v>44427</v>
      </c>
      <c r="B665">
        <v>145.029999</v>
      </c>
      <c r="C665">
        <v>148</v>
      </c>
      <c r="D665">
        <v>144.5</v>
      </c>
      <c r="E665">
        <v>146.699997</v>
      </c>
      <c r="F665">
        <v>145.64093</v>
      </c>
      <c r="G665">
        <v>86960300</v>
      </c>
      <c r="H665" s="2">
        <f t="shared" si="10"/>
        <v>2.3230117359727132E-3</v>
      </c>
    </row>
    <row r="666" spans="1:8" x14ac:dyDescent="0.35">
      <c r="A666" s="1">
        <v>44428</v>
      </c>
      <c r="B666">
        <v>147.44000199999999</v>
      </c>
      <c r="C666">
        <v>148.5</v>
      </c>
      <c r="D666">
        <v>146.779999</v>
      </c>
      <c r="E666">
        <v>148.19000199999999</v>
      </c>
      <c r="F666">
        <v>147.12017800000001</v>
      </c>
      <c r="G666">
        <v>60549600</v>
      </c>
      <c r="H666" s="2">
        <f t="shared" si="10"/>
        <v>1.015681684028924E-2</v>
      </c>
    </row>
    <row r="667" spans="1:8" x14ac:dyDescent="0.35">
      <c r="A667" s="1">
        <v>44431</v>
      </c>
      <c r="B667">
        <v>148.30999800000001</v>
      </c>
      <c r="C667">
        <v>150.19000199999999</v>
      </c>
      <c r="D667">
        <v>147.88999899999999</v>
      </c>
      <c r="E667">
        <v>149.71000699999999</v>
      </c>
      <c r="F667">
        <v>148.62922699999999</v>
      </c>
      <c r="G667">
        <v>60131800</v>
      </c>
      <c r="H667" s="2">
        <f t="shared" si="10"/>
        <v>1.0257135970616948E-2</v>
      </c>
    </row>
    <row r="668" spans="1:8" x14ac:dyDescent="0.35">
      <c r="A668" s="1">
        <v>44432</v>
      </c>
      <c r="B668">
        <v>149.449997</v>
      </c>
      <c r="C668">
        <v>150.86000100000001</v>
      </c>
      <c r="D668">
        <v>149.14999399999999</v>
      </c>
      <c r="E668">
        <v>149.61999499999999</v>
      </c>
      <c r="F668">
        <v>148.539841</v>
      </c>
      <c r="G668">
        <v>48606400</v>
      </c>
      <c r="H668" s="2">
        <f t="shared" si="10"/>
        <v>-6.0124237386482982E-4</v>
      </c>
    </row>
    <row r="669" spans="1:8" x14ac:dyDescent="0.35">
      <c r="A669" s="1">
        <v>44433</v>
      </c>
      <c r="B669">
        <v>149.80999800000001</v>
      </c>
      <c r="C669">
        <v>150.320007</v>
      </c>
      <c r="D669">
        <v>147.800003</v>
      </c>
      <c r="E669">
        <v>148.36000100000001</v>
      </c>
      <c r="F669">
        <v>147.28895600000001</v>
      </c>
      <c r="G669">
        <v>58991300</v>
      </c>
      <c r="H669" s="2">
        <f t="shared" si="10"/>
        <v>-8.4212942260823986E-3</v>
      </c>
    </row>
    <row r="670" spans="1:8" x14ac:dyDescent="0.35">
      <c r="A670" s="1">
        <v>44434</v>
      </c>
      <c r="B670">
        <v>148.35000600000001</v>
      </c>
      <c r="C670">
        <v>149.11999499999999</v>
      </c>
      <c r="D670">
        <v>147.509995</v>
      </c>
      <c r="E670">
        <v>147.53999300000001</v>
      </c>
      <c r="F670">
        <v>146.47485399999999</v>
      </c>
      <c r="G670">
        <v>48597200</v>
      </c>
      <c r="H670" s="2">
        <f t="shared" si="10"/>
        <v>-5.5271501379944299E-3</v>
      </c>
    </row>
    <row r="671" spans="1:8" x14ac:dyDescent="0.35">
      <c r="A671" s="1">
        <v>44435</v>
      </c>
      <c r="B671">
        <v>147.479996</v>
      </c>
      <c r="C671">
        <v>148.75</v>
      </c>
      <c r="D671">
        <v>146.83000200000001</v>
      </c>
      <c r="E671">
        <v>148.60000600000001</v>
      </c>
      <c r="F671">
        <v>147.52722199999999</v>
      </c>
      <c r="G671">
        <v>55802400</v>
      </c>
      <c r="H671" s="2">
        <f t="shared" si="10"/>
        <v>7.1845807936292694E-3</v>
      </c>
    </row>
    <row r="672" spans="1:8" x14ac:dyDescent="0.35">
      <c r="A672" s="1">
        <v>44438</v>
      </c>
      <c r="B672">
        <v>149</v>
      </c>
      <c r="C672">
        <v>153.490005</v>
      </c>
      <c r="D672">
        <v>148.61000100000001</v>
      </c>
      <c r="E672">
        <v>153.11999499999999</v>
      </c>
      <c r="F672">
        <v>152.01458700000001</v>
      </c>
      <c r="G672">
        <v>90956700</v>
      </c>
      <c r="H672" s="2">
        <f t="shared" si="10"/>
        <v>3.0417152203883413E-2</v>
      </c>
    </row>
    <row r="673" spans="1:8" x14ac:dyDescent="0.35">
      <c r="A673" s="1">
        <v>44439</v>
      </c>
      <c r="B673">
        <v>152.66000399999999</v>
      </c>
      <c r="C673">
        <v>152.800003</v>
      </c>
      <c r="D673">
        <v>151.28999300000001</v>
      </c>
      <c r="E673">
        <v>151.83000200000001</v>
      </c>
      <c r="F673">
        <v>150.733902</v>
      </c>
      <c r="G673">
        <v>86453100</v>
      </c>
      <c r="H673" s="2">
        <f t="shared" si="10"/>
        <v>-8.4247194496054334E-3</v>
      </c>
    </row>
    <row r="674" spans="1:8" x14ac:dyDescent="0.35">
      <c r="A674" s="1">
        <v>44440</v>
      </c>
      <c r="B674">
        <v>152.83000200000001</v>
      </c>
      <c r="C674">
        <v>154.979996</v>
      </c>
      <c r="D674">
        <v>152.33999600000001</v>
      </c>
      <c r="E674">
        <v>152.509995</v>
      </c>
      <c r="F674">
        <v>151.408997</v>
      </c>
      <c r="G674">
        <v>80313700</v>
      </c>
      <c r="H674" s="2">
        <f t="shared" si="10"/>
        <v>4.4786471121827098E-3</v>
      </c>
    </row>
    <row r="675" spans="1:8" x14ac:dyDescent="0.35">
      <c r="A675" s="1">
        <v>44441</v>
      </c>
      <c r="B675">
        <v>153.86999499999999</v>
      </c>
      <c r="C675">
        <v>154.720001</v>
      </c>
      <c r="D675">
        <v>152.39999399999999</v>
      </c>
      <c r="E675">
        <v>153.64999399999999</v>
      </c>
      <c r="F675">
        <v>152.54075599999999</v>
      </c>
      <c r="G675">
        <v>71115500</v>
      </c>
      <c r="H675" s="2">
        <f t="shared" si="10"/>
        <v>7.4749133655140909E-3</v>
      </c>
    </row>
    <row r="676" spans="1:8" x14ac:dyDescent="0.35">
      <c r="A676" s="1">
        <v>44442</v>
      </c>
      <c r="B676">
        <v>153.759995</v>
      </c>
      <c r="C676">
        <v>154.63000500000001</v>
      </c>
      <c r="D676">
        <v>153.08999600000001</v>
      </c>
      <c r="E676">
        <v>154.300003</v>
      </c>
      <c r="F676">
        <v>153.186081</v>
      </c>
      <c r="G676">
        <v>57808700</v>
      </c>
      <c r="H676" s="2">
        <f t="shared" si="10"/>
        <v>4.2304524919150044E-3</v>
      </c>
    </row>
    <row r="677" spans="1:8" x14ac:dyDescent="0.35">
      <c r="A677" s="1">
        <v>44446</v>
      </c>
      <c r="B677">
        <v>154.970001</v>
      </c>
      <c r="C677">
        <v>157.259995</v>
      </c>
      <c r="D677">
        <v>154.38999899999999</v>
      </c>
      <c r="E677">
        <v>156.69000199999999</v>
      </c>
      <c r="F677">
        <v>155.55882299999999</v>
      </c>
      <c r="G677">
        <v>82278300</v>
      </c>
      <c r="H677" s="2">
        <f t="shared" si="10"/>
        <v>1.5489299763655762E-2</v>
      </c>
    </row>
    <row r="678" spans="1:8" x14ac:dyDescent="0.35">
      <c r="A678" s="1">
        <v>44447</v>
      </c>
      <c r="B678">
        <v>156.979996</v>
      </c>
      <c r="C678">
        <v>157.03999300000001</v>
      </c>
      <c r="D678">
        <v>153.979996</v>
      </c>
      <c r="E678">
        <v>155.11000100000001</v>
      </c>
      <c r="F678">
        <v>153.990219</v>
      </c>
      <c r="G678">
        <v>74420200</v>
      </c>
      <c r="H678" s="2">
        <f t="shared" si="10"/>
        <v>-1.0083610822852473E-2</v>
      </c>
    </row>
    <row r="679" spans="1:8" x14ac:dyDescent="0.35">
      <c r="A679" s="1">
        <v>44448</v>
      </c>
      <c r="B679">
        <v>155.490005</v>
      </c>
      <c r="C679">
        <v>156.11000100000001</v>
      </c>
      <c r="D679">
        <v>153.949997</v>
      </c>
      <c r="E679">
        <v>154.070007</v>
      </c>
      <c r="F679">
        <v>152.95774800000001</v>
      </c>
      <c r="G679">
        <v>57305700</v>
      </c>
      <c r="H679" s="2">
        <f t="shared" si="10"/>
        <v>-6.7048803642262289E-3</v>
      </c>
    </row>
    <row r="680" spans="1:8" x14ac:dyDescent="0.35">
      <c r="A680" s="1">
        <v>44449</v>
      </c>
      <c r="B680">
        <v>155</v>
      </c>
      <c r="C680">
        <v>155.479996</v>
      </c>
      <c r="D680">
        <v>148.699997</v>
      </c>
      <c r="E680">
        <v>148.970001</v>
      </c>
      <c r="F680">
        <v>147.89456200000001</v>
      </c>
      <c r="G680">
        <v>140893200</v>
      </c>
      <c r="H680" s="2">
        <f t="shared" si="10"/>
        <v>-3.3101874266806552E-2</v>
      </c>
    </row>
    <row r="681" spans="1:8" x14ac:dyDescent="0.35">
      <c r="A681" s="1">
        <v>44452</v>
      </c>
      <c r="B681">
        <v>150.63000500000001</v>
      </c>
      <c r="C681">
        <v>151.41999799999999</v>
      </c>
      <c r="D681">
        <v>148.75</v>
      </c>
      <c r="E681">
        <v>149.550003</v>
      </c>
      <c r="F681">
        <v>148.47036700000001</v>
      </c>
      <c r="G681">
        <v>102404300</v>
      </c>
      <c r="H681" s="2">
        <f t="shared" si="10"/>
        <v>3.8934147553641996E-3</v>
      </c>
    </row>
    <row r="682" spans="1:8" x14ac:dyDescent="0.35">
      <c r="A682" s="1">
        <v>44453</v>
      </c>
      <c r="B682">
        <v>150.35000600000001</v>
      </c>
      <c r="C682">
        <v>151.070007</v>
      </c>
      <c r="D682">
        <v>146.91000399999999</v>
      </c>
      <c r="E682">
        <v>148.11999499999999</v>
      </c>
      <c r="F682">
        <v>147.05069</v>
      </c>
      <c r="G682">
        <v>109296300</v>
      </c>
      <c r="H682" s="2">
        <f t="shared" si="10"/>
        <v>-9.5620726935058409E-3</v>
      </c>
    </row>
    <row r="683" spans="1:8" x14ac:dyDescent="0.35">
      <c r="A683" s="1">
        <v>44454</v>
      </c>
      <c r="B683">
        <v>148.55999800000001</v>
      </c>
      <c r="C683">
        <v>149.44000199999999</v>
      </c>
      <c r="D683">
        <v>146.36999499999999</v>
      </c>
      <c r="E683">
        <v>149.029999</v>
      </c>
      <c r="F683">
        <v>147.954117</v>
      </c>
      <c r="G683">
        <v>83281300</v>
      </c>
      <c r="H683" s="2">
        <f t="shared" si="10"/>
        <v>6.1436945093065187E-3</v>
      </c>
    </row>
    <row r="684" spans="1:8" x14ac:dyDescent="0.35">
      <c r="A684" s="1">
        <v>44455</v>
      </c>
      <c r="B684">
        <v>148.44000199999999</v>
      </c>
      <c r="C684">
        <v>148.970001</v>
      </c>
      <c r="D684">
        <v>147.220001</v>
      </c>
      <c r="E684">
        <v>148.78999300000001</v>
      </c>
      <c r="F684">
        <v>147.715836</v>
      </c>
      <c r="G684">
        <v>68034100</v>
      </c>
      <c r="H684" s="2">
        <f t="shared" si="10"/>
        <v>-1.6104542817583223E-3</v>
      </c>
    </row>
    <row r="685" spans="1:8" x14ac:dyDescent="0.35">
      <c r="A685" s="1">
        <v>44456</v>
      </c>
      <c r="B685">
        <v>148.820007</v>
      </c>
      <c r="C685">
        <v>148.820007</v>
      </c>
      <c r="D685">
        <v>145.759995</v>
      </c>
      <c r="E685">
        <v>146.05999800000001</v>
      </c>
      <c r="F685">
        <v>145.00556900000001</v>
      </c>
      <c r="G685">
        <v>129868800</v>
      </c>
      <c r="H685" s="2">
        <f t="shared" si="10"/>
        <v>-1.8347974517345378E-2</v>
      </c>
    </row>
    <row r="686" spans="1:8" x14ac:dyDescent="0.35">
      <c r="A686" s="1">
        <v>44459</v>
      </c>
      <c r="B686">
        <v>143.800003</v>
      </c>
      <c r="C686">
        <v>144.83999600000001</v>
      </c>
      <c r="D686">
        <v>141.270004</v>
      </c>
      <c r="E686">
        <v>142.94000199999999</v>
      </c>
      <c r="F686">
        <v>141.908096</v>
      </c>
      <c r="G686">
        <v>123478900</v>
      </c>
      <c r="H686" s="2">
        <f t="shared" si="10"/>
        <v>-2.1361057392319083E-2</v>
      </c>
    </row>
    <row r="687" spans="1:8" x14ac:dyDescent="0.35">
      <c r="A687" s="1">
        <v>44460</v>
      </c>
      <c r="B687">
        <v>143.929993</v>
      </c>
      <c r="C687">
        <v>144.60000600000001</v>
      </c>
      <c r="D687">
        <v>142.779999</v>
      </c>
      <c r="E687">
        <v>143.429993</v>
      </c>
      <c r="F687">
        <v>142.394531</v>
      </c>
      <c r="G687">
        <v>75834000</v>
      </c>
      <c r="H687" s="2">
        <f t="shared" si="10"/>
        <v>3.4279487417385734E-3</v>
      </c>
    </row>
    <row r="688" spans="1:8" x14ac:dyDescent="0.35">
      <c r="A688" s="1">
        <v>44461</v>
      </c>
      <c r="B688">
        <v>144.449997</v>
      </c>
      <c r="C688">
        <v>146.429993</v>
      </c>
      <c r="D688">
        <v>143.699997</v>
      </c>
      <c r="E688">
        <v>145.85000600000001</v>
      </c>
      <c r="F688">
        <v>144.797089</v>
      </c>
      <c r="G688">
        <v>76404300</v>
      </c>
      <c r="H688" s="2">
        <f t="shared" si="10"/>
        <v>1.6872433368939843E-2</v>
      </c>
    </row>
    <row r="689" spans="1:8" x14ac:dyDescent="0.35">
      <c r="A689" s="1">
        <v>44462</v>
      </c>
      <c r="B689">
        <v>146.64999399999999</v>
      </c>
      <c r="C689">
        <v>147.08000200000001</v>
      </c>
      <c r="D689">
        <v>145.63999899999999</v>
      </c>
      <c r="E689">
        <v>146.83000200000001</v>
      </c>
      <c r="F689">
        <v>145.77001999999999</v>
      </c>
      <c r="G689">
        <v>64838200</v>
      </c>
      <c r="H689" s="2">
        <f t="shared" si="10"/>
        <v>6.7192043859085615E-3</v>
      </c>
    </row>
    <row r="690" spans="1:8" x14ac:dyDescent="0.35">
      <c r="A690" s="1">
        <v>44463</v>
      </c>
      <c r="B690">
        <v>145.66000399999999</v>
      </c>
      <c r="C690">
        <v>147.470001</v>
      </c>
      <c r="D690">
        <v>145.55999800000001</v>
      </c>
      <c r="E690">
        <v>146.91999799999999</v>
      </c>
      <c r="F690">
        <v>145.85934399999999</v>
      </c>
      <c r="G690">
        <v>53477900</v>
      </c>
      <c r="H690" s="2">
        <f t="shared" si="10"/>
        <v>6.1292650530631043E-4</v>
      </c>
    </row>
    <row r="691" spans="1:8" x14ac:dyDescent="0.35">
      <c r="A691" s="1">
        <v>44466</v>
      </c>
      <c r="B691">
        <v>145.470001</v>
      </c>
      <c r="C691">
        <v>145.96000699999999</v>
      </c>
      <c r="D691">
        <v>143.820007</v>
      </c>
      <c r="E691">
        <v>145.36999499999999</v>
      </c>
      <c r="F691">
        <v>144.32054099999999</v>
      </c>
      <c r="G691">
        <v>74150700</v>
      </c>
      <c r="H691" s="2">
        <f t="shared" si="10"/>
        <v>-1.0549979724339575E-2</v>
      </c>
    </row>
    <row r="692" spans="1:8" x14ac:dyDescent="0.35">
      <c r="A692" s="1">
        <v>44467</v>
      </c>
      <c r="B692">
        <v>143.25</v>
      </c>
      <c r="C692">
        <v>144.75</v>
      </c>
      <c r="D692">
        <v>141.69000199999999</v>
      </c>
      <c r="E692">
        <v>141.91000399999999</v>
      </c>
      <c r="F692">
        <v>140.88552899999999</v>
      </c>
      <c r="G692">
        <v>108972300</v>
      </c>
      <c r="H692" s="2">
        <f t="shared" si="10"/>
        <v>-2.3801273433351922E-2</v>
      </c>
    </row>
    <row r="693" spans="1:8" x14ac:dyDescent="0.35">
      <c r="A693" s="1">
        <v>44468</v>
      </c>
      <c r="B693">
        <v>142.470001</v>
      </c>
      <c r="C693">
        <v>144.449997</v>
      </c>
      <c r="D693">
        <v>142.029999</v>
      </c>
      <c r="E693">
        <v>142.83000200000001</v>
      </c>
      <c r="F693">
        <v>141.79887400000001</v>
      </c>
      <c r="G693">
        <v>74602000</v>
      </c>
      <c r="H693" s="2">
        <f t="shared" si="10"/>
        <v>6.4829678956250802E-3</v>
      </c>
    </row>
    <row r="694" spans="1:8" x14ac:dyDescent="0.35">
      <c r="A694" s="1">
        <v>44469</v>
      </c>
      <c r="B694">
        <v>143.66000399999999</v>
      </c>
      <c r="C694">
        <v>144.38000500000001</v>
      </c>
      <c r="D694">
        <v>141.279999</v>
      </c>
      <c r="E694">
        <v>141.5</v>
      </c>
      <c r="F694">
        <v>140.47848500000001</v>
      </c>
      <c r="G694">
        <v>89056700</v>
      </c>
      <c r="H694" s="2">
        <f t="shared" si="10"/>
        <v>-9.3117831084257308E-3</v>
      </c>
    </row>
    <row r="695" spans="1:8" x14ac:dyDescent="0.35">
      <c r="A695" s="1">
        <v>44470</v>
      </c>
      <c r="B695">
        <v>141.89999399999999</v>
      </c>
      <c r="C695">
        <v>142.91999799999999</v>
      </c>
      <c r="D695">
        <v>139.11000100000001</v>
      </c>
      <c r="E695">
        <v>142.64999399999999</v>
      </c>
      <c r="F695">
        <v>141.62016299999999</v>
      </c>
      <c r="G695">
        <v>94639600</v>
      </c>
      <c r="H695" s="2">
        <f t="shared" si="10"/>
        <v>8.1271660777384458E-3</v>
      </c>
    </row>
    <row r="696" spans="1:8" x14ac:dyDescent="0.35">
      <c r="A696" s="1">
        <v>44473</v>
      </c>
      <c r="B696">
        <v>141.759995</v>
      </c>
      <c r="C696">
        <v>142.21000699999999</v>
      </c>
      <c r="D696">
        <v>138.270004</v>
      </c>
      <c r="E696">
        <v>139.13999899999999</v>
      </c>
      <c r="F696">
        <v>138.135513</v>
      </c>
      <c r="G696">
        <v>98322000</v>
      </c>
      <c r="H696" s="2">
        <f t="shared" si="10"/>
        <v>-2.4605644217552514E-2</v>
      </c>
    </row>
    <row r="697" spans="1:8" x14ac:dyDescent="0.35">
      <c r="A697" s="1">
        <v>44474</v>
      </c>
      <c r="B697">
        <v>139.490005</v>
      </c>
      <c r="C697">
        <v>142.240005</v>
      </c>
      <c r="D697">
        <v>139.36000100000001</v>
      </c>
      <c r="E697">
        <v>141.11000100000001</v>
      </c>
      <c r="F697">
        <v>140.09129300000001</v>
      </c>
      <c r="G697">
        <v>80861100</v>
      </c>
      <c r="H697" s="2">
        <f t="shared" si="10"/>
        <v>1.4158416085657821E-2</v>
      </c>
    </row>
    <row r="698" spans="1:8" x14ac:dyDescent="0.35">
      <c r="A698" s="1">
        <v>44475</v>
      </c>
      <c r="B698">
        <v>139.470001</v>
      </c>
      <c r="C698">
        <v>142.14999399999999</v>
      </c>
      <c r="D698">
        <v>138.36999499999999</v>
      </c>
      <c r="E698">
        <v>142</v>
      </c>
      <c r="F698">
        <v>140.97486900000001</v>
      </c>
      <c r="G698">
        <v>83221100</v>
      </c>
      <c r="H698" s="2">
        <f t="shared" si="10"/>
        <v>6.3071291452969636E-3</v>
      </c>
    </row>
    <row r="699" spans="1:8" x14ac:dyDescent="0.35">
      <c r="A699" s="1">
        <v>44476</v>
      </c>
      <c r="B699">
        <v>143.05999800000001</v>
      </c>
      <c r="C699">
        <v>144.220001</v>
      </c>
      <c r="D699">
        <v>142.720001</v>
      </c>
      <c r="E699">
        <v>143.28999300000001</v>
      </c>
      <c r="F699">
        <v>142.255539</v>
      </c>
      <c r="G699">
        <v>61732700</v>
      </c>
      <c r="H699" s="2">
        <f t="shared" si="10"/>
        <v>9.0844577464790355E-3</v>
      </c>
    </row>
    <row r="700" spans="1:8" x14ac:dyDescent="0.35">
      <c r="A700" s="1">
        <v>44477</v>
      </c>
      <c r="B700">
        <v>144.029999</v>
      </c>
      <c r="C700">
        <v>144.179993</v>
      </c>
      <c r="D700">
        <v>142.55999800000001</v>
      </c>
      <c r="E700">
        <v>142.89999399999999</v>
      </c>
      <c r="F700">
        <v>141.86836199999999</v>
      </c>
      <c r="G700">
        <v>58773200</v>
      </c>
      <c r="H700" s="2">
        <f t="shared" si="10"/>
        <v>-2.7217462422516325E-3</v>
      </c>
    </row>
    <row r="701" spans="1:8" x14ac:dyDescent="0.35">
      <c r="A701" s="1">
        <v>44480</v>
      </c>
      <c r="B701">
        <v>142.270004</v>
      </c>
      <c r="C701">
        <v>144.80999800000001</v>
      </c>
      <c r="D701">
        <v>141.80999800000001</v>
      </c>
      <c r="E701">
        <v>142.80999800000001</v>
      </c>
      <c r="F701">
        <v>141.779022</v>
      </c>
      <c r="G701">
        <v>64452200</v>
      </c>
      <c r="H701" s="2">
        <f t="shared" si="10"/>
        <v>-6.2978309152328382E-4</v>
      </c>
    </row>
    <row r="702" spans="1:8" x14ac:dyDescent="0.35">
      <c r="A702" s="1">
        <v>44481</v>
      </c>
      <c r="B702">
        <v>143.229996</v>
      </c>
      <c r="C702">
        <v>143.25</v>
      </c>
      <c r="D702">
        <v>141.03999300000001</v>
      </c>
      <c r="E702">
        <v>141.509995</v>
      </c>
      <c r="F702">
        <v>140.48841899999999</v>
      </c>
      <c r="G702">
        <v>73035900</v>
      </c>
      <c r="H702" s="2">
        <f t="shared" si="10"/>
        <v>-9.1030251257339101E-3</v>
      </c>
    </row>
    <row r="703" spans="1:8" x14ac:dyDescent="0.35">
      <c r="A703" s="1">
        <v>44482</v>
      </c>
      <c r="B703">
        <v>141.240005</v>
      </c>
      <c r="C703">
        <v>141.39999399999999</v>
      </c>
      <c r="D703">
        <v>139.199997</v>
      </c>
      <c r="E703">
        <v>140.91000399999999</v>
      </c>
      <c r="F703">
        <v>139.89274599999999</v>
      </c>
      <c r="G703">
        <v>78762700</v>
      </c>
      <c r="H703" s="2">
        <f t="shared" si="10"/>
        <v>-4.2399195901322573E-3</v>
      </c>
    </row>
    <row r="704" spans="1:8" x14ac:dyDescent="0.35">
      <c r="A704" s="1">
        <v>44483</v>
      </c>
      <c r="B704">
        <v>142.11000100000001</v>
      </c>
      <c r="C704">
        <v>143.88000500000001</v>
      </c>
      <c r="D704">
        <v>141.509995</v>
      </c>
      <c r="E704">
        <v>143.759995</v>
      </c>
      <c r="F704">
        <v>142.72215299999999</v>
      </c>
      <c r="G704">
        <v>69907100</v>
      </c>
      <c r="H704" s="2">
        <f t="shared" si="10"/>
        <v>2.022561151868274E-2</v>
      </c>
    </row>
    <row r="705" spans="1:8" x14ac:dyDescent="0.35">
      <c r="A705" s="1">
        <v>44484</v>
      </c>
      <c r="B705">
        <v>143.770004</v>
      </c>
      <c r="C705">
        <v>144.89999399999999</v>
      </c>
      <c r="D705">
        <v>143.509995</v>
      </c>
      <c r="E705">
        <v>144.83999600000001</v>
      </c>
      <c r="F705">
        <v>143.79437300000001</v>
      </c>
      <c r="G705">
        <v>67940300</v>
      </c>
      <c r="H705" s="2">
        <f t="shared" si="10"/>
        <v>7.5125280854386745E-3</v>
      </c>
    </row>
    <row r="706" spans="1:8" x14ac:dyDescent="0.35">
      <c r="A706" s="1">
        <v>44487</v>
      </c>
      <c r="B706">
        <v>143.449997</v>
      </c>
      <c r="C706">
        <v>146.83999600000001</v>
      </c>
      <c r="D706">
        <v>143.16000399999999</v>
      </c>
      <c r="E706">
        <v>146.550003</v>
      </c>
      <c r="F706">
        <v>145.49202</v>
      </c>
      <c r="G706">
        <v>85589200</v>
      </c>
      <c r="H706" s="2">
        <f t="shared" si="10"/>
        <v>1.1806179558303764E-2</v>
      </c>
    </row>
    <row r="707" spans="1:8" x14ac:dyDescent="0.35">
      <c r="A707" s="1">
        <v>44488</v>
      </c>
      <c r="B707">
        <v>147.009995</v>
      </c>
      <c r="C707">
        <v>149.16999799999999</v>
      </c>
      <c r="D707">
        <v>146.550003</v>
      </c>
      <c r="E707">
        <v>148.759995</v>
      </c>
      <c r="F707">
        <v>147.68606600000001</v>
      </c>
      <c r="G707">
        <v>76378900</v>
      </c>
      <c r="H707" s="2">
        <f t="shared" si="10"/>
        <v>1.5080122516271777E-2</v>
      </c>
    </row>
    <row r="708" spans="1:8" x14ac:dyDescent="0.35">
      <c r="A708" s="1">
        <v>44489</v>
      </c>
      <c r="B708">
        <v>148.699997</v>
      </c>
      <c r="C708">
        <v>149.75</v>
      </c>
      <c r="D708">
        <v>148.11999499999999</v>
      </c>
      <c r="E708">
        <v>149.259995</v>
      </c>
      <c r="F708">
        <v>148.18244899999999</v>
      </c>
      <c r="G708">
        <v>58418800</v>
      </c>
      <c r="H708" s="2">
        <f t="shared" ref="H708:H771" si="11">E708/E707-1</f>
        <v>3.3611186932347437E-3</v>
      </c>
    </row>
    <row r="709" spans="1:8" x14ac:dyDescent="0.35">
      <c r="A709" s="1">
        <v>44490</v>
      </c>
      <c r="B709">
        <v>148.80999800000001</v>
      </c>
      <c r="C709">
        <v>149.63999899999999</v>
      </c>
      <c r="D709">
        <v>147.86999499999999</v>
      </c>
      <c r="E709">
        <v>149.479996</v>
      </c>
      <c r="F709">
        <v>148.40086400000001</v>
      </c>
      <c r="G709">
        <v>61421000</v>
      </c>
      <c r="H709" s="2">
        <f t="shared" si="11"/>
        <v>1.4739448436937863E-3</v>
      </c>
    </row>
    <row r="710" spans="1:8" x14ac:dyDescent="0.35">
      <c r="A710" s="1">
        <v>44491</v>
      </c>
      <c r="B710">
        <v>149.69000199999999</v>
      </c>
      <c r="C710">
        <v>150.179993</v>
      </c>
      <c r="D710">
        <v>148.63999899999999</v>
      </c>
      <c r="E710">
        <v>148.69000199999999</v>
      </c>
      <c r="F710">
        <v>147.61657700000001</v>
      </c>
      <c r="G710">
        <v>58883400</v>
      </c>
      <c r="H710" s="2">
        <f t="shared" si="11"/>
        <v>-5.2849479605284744E-3</v>
      </c>
    </row>
    <row r="711" spans="1:8" x14ac:dyDescent="0.35">
      <c r="A711" s="1">
        <v>44494</v>
      </c>
      <c r="B711">
        <v>148.679993</v>
      </c>
      <c r="C711">
        <v>149.36999499999999</v>
      </c>
      <c r="D711">
        <v>147.61999499999999</v>
      </c>
      <c r="E711">
        <v>148.63999899999999</v>
      </c>
      <c r="F711">
        <v>147.56693999999999</v>
      </c>
      <c r="G711">
        <v>50720600</v>
      </c>
      <c r="H711" s="2">
        <f t="shared" si="11"/>
        <v>-3.3629026382020477E-4</v>
      </c>
    </row>
    <row r="712" spans="1:8" x14ac:dyDescent="0.35">
      <c r="A712" s="1">
        <v>44495</v>
      </c>
      <c r="B712">
        <v>149.33000200000001</v>
      </c>
      <c r="C712">
        <v>150.83999600000001</v>
      </c>
      <c r="D712">
        <v>149.009995</v>
      </c>
      <c r="E712">
        <v>149.320007</v>
      </c>
      <c r="F712">
        <v>148.24203499999999</v>
      </c>
      <c r="G712">
        <v>60893400</v>
      </c>
      <c r="H712" s="2">
        <f t="shared" si="11"/>
        <v>4.5748654774950825E-3</v>
      </c>
    </row>
    <row r="713" spans="1:8" x14ac:dyDescent="0.35">
      <c r="A713" s="1">
        <v>44496</v>
      </c>
      <c r="B713">
        <v>149.36000100000001</v>
      </c>
      <c r="C713">
        <v>149.729996</v>
      </c>
      <c r="D713">
        <v>148.490005</v>
      </c>
      <c r="E713">
        <v>148.85000600000001</v>
      </c>
      <c r="F713">
        <v>147.77542099999999</v>
      </c>
      <c r="G713">
        <v>56094900</v>
      </c>
      <c r="H713" s="2">
        <f t="shared" si="11"/>
        <v>-3.147609013974928E-3</v>
      </c>
    </row>
    <row r="714" spans="1:8" x14ac:dyDescent="0.35">
      <c r="A714" s="1">
        <v>44497</v>
      </c>
      <c r="B714">
        <v>149.820007</v>
      </c>
      <c r="C714">
        <v>153.16999799999999</v>
      </c>
      <c r="D714">
        <v>149.720001</v>
      </c>
      <c r="E714">
        <v>152.570007</v>
      </c>
      <c r="F714">
        <v>151.468582</v>
      </c>
      <c r="G714">
        <v>100077900</v>
      </c>
      <c r="H714" s="2">
        <f t="shared" si="11"/>
        <v>2.4991607994963694E-2</v>
      </c>
    </row>
    <row r="715" spans="1:8" x14ac:dyDescent="0.35">
      <c r="A715" s="1">
        <v>44498</v>
      </c>
      <c r="B715">
        <v>147.220001</v>
      </c>
      <c r="C715">
        <v>149.94000199999999</v>
      </c>
      <c r="D715">
        <v>146.41000399999999</v>
      </c>
      <c r="E715">
        <v>149.800003</v>
      </c>
      <c r="F715">
        <v>148.71855199999999</v>
      </c>
      <c r="G715">
        <v>124953200</v>
      </c>
      <c r="H715" s="2">
        <f t="shared" si="11"/>
        <v>-1.8155626092355104E-2</v>
      </c>
    </row>
    <row r="716" spans="1:8" x14ac:dyDescent="0.35">
      <c r="A716" s="1">
        <v>44501</v>
      </c>
      <c r="B716">
        <v>148.990005</v>
      </c>
      <c r="C716">
        <v>149.699997</v>
      </c>
      <c r="D716">
        <v>147.800003</v>
      </c>
      <c r="E716">
        <v>148.96000699999999</v>
      </c>
      <c r="F716">
        <v>147.88462799999999</v>
      </c>
      <c r="G716">
        <v>74588300</v>
      </c>
      <c r="H716" s="2">
        <f t="shared" si="11"/>
        <v>-5.6074498209457424E-3</v>
      </c>
    </row>
    <row r="717" spans="1:8" x14ac:dyDescent="0.35">
      <c r="A717" s="1">
        <v>44502</v>
      </c>
      <c r="B717">
        <v>148.66000399999999</v>
      </c>
      <c r="C717">
        <v>151.570007</v>
      </c>
      <c r="D717">
        <v>148.64999399999999</v>
      </c>
      <c r="E717">
        <v>150.020004</v>
      </c>
      <c r="F717">
        <v>148.93696600000001</v>
      </c>
      <c r="G717">
        <v>69122000</v>
      </c>
      <c r="H717" s="2">
        <f t="shared" si="11"/>
        <v>7.1159838224228444E-3</v>
      </c>
    </row>
    <row r="718" spans="1:8" x14ac:dyDescent="0.35">
      <c r="A718" s="1">
        <v>44503</v>
      </c>
      <c r="B718">
        <v>150.38999899999999</v>
      </c>
      <c r="C718">
        <v>151.970001</v>
      </c>
      <c r="D718">
        <v>149.820007</v>
      </c>
      <c r="E718">
        <v>151.490005</v>
      </c>
      <c r="F718">
        <v>150.39636200000001</v>
      </c>
      <c r="G718">
        <v>54511500</v>
      </c>
      <c r="H718" s="2">
        <f t="shared" si="11"/>
        <v>9.7986999120462936E-3</v>
      </c>
    </row>
    <row r="719" spans="1:8" x14ac:dyDescent="0.35">
      <c r="A719" s="1">
        <v>44504</v>
      </c>
      <c r="B719">
        <v>151.58000200000001</v>
      </c>
      <c r="C719">
        <v>152.429993</v>
      </c>
      <c r="D719">
        <v>150.63999899999999</v>
      </c>
      <c r="E719">
        <v>150.96000699999999</v>
      </c>
      <c r="F719">
        <v>149.87017800000001</v>
      </c>
      <c r="G719">
        <v>60394600</v>
      </c>
      <c r="H719" s="2">
        <f t="shared" si="11"/>
        <v>-3.4985674467434835E-3</v>
      </c>
    </row>
    <row r="720" spans="1:8" x14ac:dyDescent="0.35">
      <c r="A720" s="1">
        <v>44505</v>
      </c>
      <c r="B720">
        <v>151.88999899999999</v>
      </c>
      <c r="C720">
        <v>152.199997</v>
      </c>
      <c r="D720">
        <v>150.05999800000001</v>
      </c>
      <c r="E720">
        <v>151.279999</v>
      </c>
      <c r="F720">
        <v>150.40707399999999</v>
      </c>
      <c r="G720">
        <v>65463900</v>
      </c>
      <c r="H720" s="2">
        <f t="shared" si="11"/>
        <v>2.1197137331876448E-3</v>
      </c>
    </row>
    <row r="721" spans="1:8" x14ac:dyDescent="0.35">
      <c r="A721" s="1">
        <v>44508</v>
      </c>
      <c r="B721">
        <v>151.41000399999999</v>
      </c>
      <c r="C721">
        <v>151.570007</v>
      </c>
      <c r="D721">
        <v>150.16000399999999</v>
      </c>
      <c r="E721">
        <v>150.44000199999999</v>
      </c>
      <c r="F721">
        <v>149.57191499999999</v>
      </c>
      <c r="G721">
        <v>55020900</v>
      </c>
      <c r="H721" s="2">
        <f t="shared" si="11"/>
        <v>-5.552597868539233E-3</v>
      </c>
    </row>
    <row r="722" spans="1:8" x14ac:dyDescent="0.35">
      <c r="A722" s="1">
        <v>44509</v>
      </c>
      <c r="B722">
        <v>150.199997</v>
      </c>
      <c r="C722">
        <v>151.429993</v>
      </c>
      <c r="D722">
        <v>150.05999800000001</v>
      </c>
      <c r="E722">
        <v>150.80999800000001</v>
      </c>
      <c r="F722">
        <v>149.939774</v>
      </c>
      <c r="G722">
        <v>56787900</v>
      </c>
      <c r="H722" s="2">
        <f t="shared" si="11"/>
        <v>2.4594256519621105E-3</v>
      </c>
    </row>
    <row r="723" spans="1:8" x14ac:dyDescent="0.35">
      <c r="A723" s="1">
        <v>44510</v>
      </c>
      <c r="B723">
        <v>150.020004</v>
      </c>
      <c r="C723">
        <v>150.13000500000001</v>
      </c>
      <c r="D723">
        <v>147.85000600000001</v>
      </c>
      <c r="E723">
        <v>147.91999799999999</v>
      </c>
      <c r="F723">
        <v>147.066452</v>
      </c>
      <c r="G723">
        <v>65187100</v>
      </c>
      <c r="H723" s="2">
        <f t="shared" si="11"/>
        <v>-1.9163185719291764E-2</v>
      </c>
    </row>
    <row r="724" spans="1:8" x14ac:dyDescent="0.35">
      <c r="A724" s="1">
        <v>44511</v>
      </c>
      <c r="B724">
        <v>148.96000699999999</v>
      </c>
      <c r="C724">
        <v>149.429993</v>
      </c>
      <c r="D724">
        <v>147.679993</v>
      </c>
      <c r="E724">
        <v>147.86999499999999</v>
      </c>
      <c r="F724">
        <v>147.01675399999999</v>
      </c>
      <c r="G724">
        <v>41000000</v>
      </c>
      <c r="H724" s="2">
        <f t="shared" si="11"/>
        <v>-3.380408374532573E-4</v>
      </c>
    </row>
    <row r="725" spans="1:8" x14ac:dyDescent="0.35">
      <c r="A725" s="1">
        <v>44512</v>
      </c>
      <c r="B725">
        <v>148.429993</v>
      </c>
      <c r="C725">
        <v>150.39999399999999</v>
      </c>
      <c r="D725">
        <v>147.479996</v>
      </c>
      <c r="E725">
        <v>149.990005</v>
      </c>
      <c r="F725">
        <v>149.124527</v>
      </c>
      <c r="G725">
        <v>63804000</v>
      </c>
      <c r="H725" s="2">
        <f t="shared" si="11"/>
        <v>1.4336985674477054E-2</v>
      </c>
    </row>
    <row r="726" spans="1:8" x14ac:dyDescent="0.35">
      <c r="A726" s="1">
        <v>44515</v>
      </c>
      <c r="B726">
        <v>150.36999499999999</v>
      </c>
      <c r="C726">
        <v>151.88000500000001</v>
      </c>
      <c r="D726">
        <v>149.429993</v>
      </c>
      <c r="E726">
        <v>150</v>
      </c>
      <c r="F726">
        <v>149.13445999999999</v>
      </c>
      <c r="G726">
        <v>59222800</v>
      </c>
      <c r="H726" s="2">
        <f t="shared" si="11"/>
        <v>6.6637773630251473E-5</v>
      </c>
    </row>
    <row r="727" spans="1:8" x14ac:dyDescent="0.35">
      <c r="A727" s="1">
        <v>44516</v>
      </c>
      <c r="B727">
        <v>149.94000199999999</v>
      </c>
      <c r="C727">
        <v>151.490005</v>
      </c>
      <c r="D727">
        <v>149.33999600000001</v>
      </c>
      <c r="E727">
        <v>151</v>
      </c>
      <c r="F727">
        <v>150.128693</v>
      </c>
      <c r="G727">
        <v>59256200</v>
      </c>
      <c r="H727" s="2">
        <f t="shared" si="11"/>
        <v>6.6666666666665986E-3</v>
      </c>
    </row>
    <row r="728" spans="1:8" x14ac:dyDescent="0.35">
      <c r="A728" s="1">
        <v>44517</v>
      </c>
      <c r="B728">
        <v>151</v>
      </c>
      <c r="C728">
        <v>155</v>
      </c>
      <c r="D728">
        <v>150.990005</v>
      </c>
      <c r="E728">
        <v>153.490005</v>
      </c>
      <c r="F728">
        <v>152.604309</v>
      </c>
      <c r="G728">
        <v>88807000</v>
      </c>
      <c r="H728" s="2">
        <f t="shared" si="11"/>
        <v>1.6490099337748365E-2</v>
      </c>
    </row>
    <row r="729" spans="1:8" x14ac:dyDescent="0.35">
      <c r="A729" s="1">
        <v>44518</v>
      </c>
      <c r="B729">
        <v>153.71000699999999</v>
      </c>
      <c r="C729">
        <v>158.66999799999999</v>
      </c>
      <c r="D729">
        <v>153.050003</v>
      </c>
      <c r="E729">
        <v>157.86999499999999</v>
      </c>
      <c r="F729">
        <v>156.95903000000001</v>
      </c>
      <c r="G729">
        <v>137827700</v>
      </c>
      <c r="H729" s="2">
        <f t="shared" si="11"/>
        <v>2.8535994900775519E-2</v>
      </c>
    </row>
    <row r="730" spans="1:8" x14ac:dyDescent="0.35">
      <c r="A730" s="1">
        <v>44519</v>
      </c>
      <c r="B730">
        <v>157.64999399999999</v>
      </c>
      <c r="C730">
        <v>161.020004</v>
      </c>
      <c r="D730">
        <v>156.529999</v>
      </c>
      <c r="E730">
        <v>160.550003</v>
      </c>
      <c r="F730">
        <v>159.62356600000001</v>
      </c>
      <c r="G730">
        <v>117305600</v>
      </c>
      <c r="H730" s="2">
        <f t="shared" si="11"/>
        <v>1.6976044117819944E-2</v>
      </c>
    </row>
    <row r="731" spans="1:8" x14ac:dyDescent="0.35">
      <c r="A731" s="1">
        <v>44522</v>
      </c>
      <c r="B731">
        <v>161.679993</v>
      </c>
      <c r="C731">
        <v>165.699997</v>
      </c>
      <c r="D731">
        <v>161</v>
      </c>
      <c r="E731">
        <v>161.020004</v>
      </c>
      <c r="F731">
        <v>160.090881</v>
      </c>
      <c r="G731">
        <v>117467900</v>
      </c>
      <c r="H731" s="2">
        <f t="shared" si="11"/>
        <v>2.9274431094217235E-3</v>
      </c>
    </row>
    <row r="732" spans="1:8" x14ac:dyDescent="0.35">
      <c r="A732" s="1">
        <v>44523</v>
      </c>
      <c r="B732">
        <v>161.11999499999999</v>
      </c>
      <c r="C732">
        <v>161.800003</v>
      </c>
      <c r="D732">
        <v>159.05999800000001</v>
      </c>
      <c r="E732">
        <v>161.41000399999999</v>
      </c>
      <c r="F732">
        <v>160.478622</v>
      </c>
      <c r="G732">
        <v>96041900</v>
      </c>
      <c r="H732" s="2">
        <f t="shared" si="11"/>
        <v>2.4220593113386535E-3</v>
      </c>
    </row>
    <row r="733" spans="1:8" x14ac:dyDescent="0.35">
      <c r="A733" s="1">
        <v>44524</v>
      </c>
      <c r="B733">
        <v>160.75</v>
      </c>
      <c r="C733">
        <v>162.13999899999999</v>
      </c>
      <c r="D733">
        <v>159.63999899999999</v>
      </c>
      <c r="E733">
        <v>161.94000199999999</v>
      </c>
      <c r="F733">
        <v>161.00556900000001</v>
      </c>
      <c r="G733">
        <v>69463600</v>
      </c>
      <c r="H733" s="2">
        <f t="shared" si="11"/>
        <v>3.2835511236342096E-3</v>
      </c>
    </row>
    <row r="734" spans="1:8" x14ac:dyDescent="0.35">
      <c r="A734" s="1">
        <v>44526</v>
      </c>
      <c r="B734">
        <v>159.570007</v>
      </c>
      <c r="C734">
        <v>160.449997</v>
      </c>
      <c r="D734">
        <v>156.36000100000001</v>
      </c>
      <c r="E734">
        <v>156.80999800000001</v>
      </c>
      <c r="F734">
        <v>155.90515099999999</v>
      </c>
      <c r="G734">
        <v>76959800</v>
      </c>
      <c r="H734" s="2">
        <f t="shared" si="11"/>
        <v>-3.1678423716457571E-2</v>
      </c>
    </row>
    <row r="735" spans="1:8" x14ac:dyDescent="0.35">
      <c r="A735" s="1">
        <v>44529</v>
      </c>
      <c r="B735">
        <v>159.36999499999999</v>
      </c>
      <c r="C735">
        <v>161.19000199999999</v>
      </c>
      <c r="D735">
        <v>158.78999300000001</v>
      </c>
      <c r="E735">
        <v>160.240005</v>
      </c>
      <c r="F735">
        <v>159.31538399999999</v>
      </c>
      <c r="G735">
        <v>88748200</v>
      </c>
      <c r="H735" s="2">
        <f t="shared" si="11"/>
        <v>2.1873649918674021E-2</v>
      </c>
    </row>
    <row r="736" spans="1:8" x14ac:dyDescent="0.35">
      <c r="A736" s="1">
        <v>44530</v>
      </c>
      <c r="B736">
        <v>159.990005</v>
      </c>
      <c r="C736">
        <v>165.520004</v>
      </c>
      <c r="D736">
        <v>159.91999799999999</v>
      </c>
      <c r="E736">
        <v>165.300003</v>
      </c>
      <c r="F736">
        <v>164.34617600000001</v>
      </c>
      <c r="G736">
        <v>174048100</v>
      </c>
      <c r="H736" s="2">
        <f t="shared" si="11"/>
        <v>3.1577620083074853E-2</v>
      </c>
    </row>
    <row r="737" spans="1:8" x14ac:dyDescent="0.35">
      <c r="A737" s="1">
        <v>44531</v>
      </c>
      <c r="B737">
        <v>167.479996</v>
      </c>
      <c r="C737">
        <v>170.300003</v>
      </c>
      <c r="D737">
        <v>164.529999</v>
      </c>
      <c r="E737">
        <v>164.770004</v>
      </c>
      <c r="F737">
        <v>163.819244</v>
      </c>
      <c r="G737">
        <v>152052500</v>
      </c>
      <c r="H737" s="2">
        <f t="shared" si="11"/>
        <v>-3.2062854832495269E-3</v>
      </c>
    </row>
    <row r="738" spans="1:8" x14ac:dyDescent="0.35">
      <c r="A738" s="1">
        <v>44532</v>
      </c>
      <c r="B738">
        <v>158.740005</v>
      </c>
      <c r="C738">
        <v>164.199997</v>
      </c>
      <c r="D738">
        <v>157.800003</v>
      </c>
      <c r="E738">
        <v>163.759995</v>
      </c>
      <c r="F738">
        <v>162.81504799999999</v>
      </c>
      <c r="G738">
        <v>136739200</v>
      </c>
      <c r="H738" s="2">
        <f t="shared" si="11"/>
        <v>-6.129811103239402E-3</v>
      </c>
    </row>
    <row r="739" spans="1:8" x14ac:dyDescent="0.35">
      <c r="A739" s="1">
        <v>44533</v>
      </c>
      <c r="B739">
        <v>164.020004</v>
      </c>
      <c r="C739">
        <v>164.96000699999999</v>
      </c>
      <c r="D739">
        <v>159.720001</v>
      </c>
      <c r="E739">
        <v>161.83999600000001</v>
      </c>
      <c r="F739">
        <v>160.906128</v>
      </c>
      <c r="G739">
        <v>118023100</v>
      </c>
      <c r="H739" s="2">
        <f t="shared" si="11"/>
        <v>-1.1724469092710854E-2</v>
      </c>
    </row>
    <row r="740" spans="1:8" x14ac:dyDescent="0.35">
      <c r="A740" s="1">
        <v>44536</v>
      </c>
      <c r="B740">
        <v>164.28999300000001</v>
      </c>
      <c r="C740">
        <v>167.88000500000001</v>
      </c>
      <c r="D740">
        <v>164.279999</v>
      </c>
      <c r="E740">
        <v>165.320007</v>
      </c>
      <c r="F740">
        <v>164.36605800000001</v>
      </c>
      <c r="G740">
        <v>107497000</v>
      </c>
      <c r="H740" s="2">
        <f t="shared" si="11"/>
        <v>2.1502787234374265E-2</v>
      </c>
    </row>
    <row r="741" spans="1:8" x14ac:dyDescent="0.35">
      <c r="A741" s="1">
        <v>44537</v>
      </c>
      <c r="B741">
        <v>169.08000200000001</v>
      </c>
      <c r="C741">
        <v>171.58000200000001</v>
      </c>
      <c r="D741">
        <v>168.33999600000001</v>
      </c>
      <c r="E741">
        <v>171.179993</v>
      </c>
      <c r="F741">
        <v>170.192215</v>
      </c>
      <c r="G741">
        <v>120405400</v>
      </c>
      <c r="H741" s="2">
        <f t="shared" si="11"/>
        <v>3.544632078318255E-2</v>
      </c>
    </row>
    <row r="742" spans="1:8" x14ac:dyDescent="0.35">
      <c r="A742" s="1">
        <v>44538</v>
      </c>
      <c r="B742">
        <v>172.13000500000001</v>
      </c>
      <c r="C742">
        <v>175.96000699999999</v>
      </c>
      <c r="D742">
        <v>170.699997</v>
      </c>
      <c r="E742">
        <v>175.08000200000001</v>
      </c>
      <c r="F742">
        <v>174.06973300000001</v>
      </c>
      <c r="G742">
        <v>116998900</v>
      </c>
      <c r="H742" s="2">
        <f t="shared" si="11"/>
        <v>2.2783088909227978E-2</v>
      </c>
    </row>
    <row r="743" spans="1:8" x14ac:dyDescent="0.35">
      <c r="A743" s="1">
        <v>44539</v>
      </c>
      <c r="B743">
        <v>174.91000399999999</v>
      </c>
      <c r="C743">
        <v>176.75</v>
      </c>
      <c r="D743">
        <v>173.91999799999999</v>
      </c>
      <c r="E743">
        <v>174.55999800000001</v>
      </c>
      <c r="F743">
        <v>173.55273399999999</v>
      </c>
      <c r="G743">
        <v>108923700</v>
      </c>
      <c r="H743" s="2">
        <f t="shared" si="11"/>
        <v>-2.9700936375360865E-3</v>
      </c>
    </row>
    <row r="744" spans="1:8" x14ac:dyDescent="0.35">
      <c r="A744" s="1">
        <v>44540</v>
      </c>
      <c r="B744">
        <v>175.21000699999999</v>
      </c>
      <c r="C744">
        <v>179.63000500000001</v>
      </c>
      <c r="D744">
        <v>174.69000199999999</v>
      </c>
      <c r="E744">
        <v>179.449997</v>
      </c>
      <c r="F744">
        <v>178.41452000000001</v>
      </c>
      <c r="G744">
        <v>115402700</v>
      </c>
      <c r="H744" s="2">
        <f t="shared" si="11"/>
        <v>2.8013285151389455E-2</v>
      </c>
    </row>
    <row r="745" spans="1:8" x14ac:dyDescent="0.35">
      <c r="A745" s="1">
        <v>44543</v>
      </c>
      <c r="B745">
        <v>181.11999499999999</v>
      </c>
      <c r="C745">
        <v>182.13000500000001</v>
      </c>
      <c r="D745">
        <v>175.529999</v>
      </c>
      <c r="E745">
        <v>175.740005</v>
      </c>
      <c r="F745">
        <v>174.72593699999999</v>
      </c>
      <c r="G745">
        <v>153237000</v>
      </c>
      <c r="H745" s="2">
        <f t="shared" si="11"/>
        <v>-2.0674238294916214E-2</v>
      </c>
    </row>
    <row r="746" spans="1:8" x14ac:dyDescent="0.35">
      <c r="A746" s="1">
        <v>44544</v>
      </c>
      <c r="B746">
        <v>175.25</v>
      </c>
      <c r="C746">
        <v>177.740005</v>
      </c>
      <c r="D746">
        <v>172.21000699999999</v>
      </c>
      <c r="E746">
        <v>174.33000200000001</v>
      </c>
      <c r="F746">
        <v>173.32406599999999</v>
      </c>
      <c r="G746">
        <v>139380400</v>
      </c>
      <c r="H746" s="2">
        <f t="shared" si="11"/>
        <v>-8.0232329571174876E-3</v>
      </c>
    </row>
    <row r="747" spans="1:8" x14ac:dyDescent="0.35">
      <c r="A747" s="1">
        <v>44545</v>
      </c>
      <c r="B747">
        <v>175.11000100000001</v>
      </c>
      <c r="C747">
        <v>179.5</v>
      </c>
      <c r="D747">
        <v>172.30999800000001</v>
      </c>
      <c r="E747">
        <v>179.300003</v>
      </c>
      <c r="F747">
        <v>178.26538099999999</v>
      </c>
      <c r="G747">
        <v>131063300</v>
      </c>
      <c r="H747" s="2">
        <f t="shared" si="11"/>
        <v>2.8509154723694641E-2</v>
      </c>
    </row>
    <row r="748" spans="1:8" x14ac:dyDescent="0.35">
      <c r="A748" s="1">
        <v>44546</v>
      </c>
      <c r="B748">
        <v>179.279999</v>
      </c>
      <c r="C748">
        <v>181.13999899999999</v>
      </c>
      <c r="D748">
        <v>170.75</v>
      </c>
      <c r="E748">
        <v>172.259995</v>
      </c>
      <c r="F748">
        <v>171.26599100000001</v>
      </c>
      <c r="G748">
        <v>150185800</v>
      </c>
      <c r="H748" s="2">
        <f t="shared" si="11"/>
        <v>-3.9263847641988092E-2</v>
      </c>
    </row>
    <row r="749" spans="1:8" x14ac:dyDescent="0.35">
      <c r="A749" s="1">
        <v>44547</v>
      </c>
      <c r="B749">
        <v>169.929993</v>
      </c>
      <c r="C749">
        <v>173.470001</v>
      </c>
      <c r="D749">
        <v>169.69000199999999</v>
      </c>
      <c r="E749">
        <v>171.13999899999999</v>
      </c>
      <c r="F749">
        <v>170.152466</v>
      </c>
      <c r="G749">
        <v>195432700</v>
      </c>
      <c r="H749" s="2">
        <f t="shared" si="11"/>
        <v>-6.5017765732549027E-3</v>
      </c>
    </row>
    <row r="750" spans="1:8" x14ac:dyDescent="0.35">
      <c r="A750" s="1">
        <v>44550</v>
      </c>
      <c r="B750">
        <v>168.279999</v>
      </c>
      <c r="C750">
        <v>170.58000200000001</v>
      </c>
      <c r="D750">
        <v>167.46000699999999</v>
      </c>
      <c r="E750">
        <v>169.75</v>
      </c>
      <c r="F750">
        <v>168.77049299999999</v>
      </c>
      <c r="G750">
        <v>107499100</v>
      </c>
      <c r="H750" s="2">
        <f t="shared" si="11"/>
        <v>-8.1219995800045908E-3</v>
      </c>
    </row>
    <row r="751" spans="1:8" x14ac:dyDescent="0.35">
      <c r="A751" s="1">
        <v>44551</v>
      </c>
      <c r="B751">
        <v>171.55999800000001</v>
      </c>
      <c r="C751">
        <v>173.199997</v>
      </c>
      <c r="D751">
        <v>169.11999499999999</v>
      </c>
      <c r="E751">
        <v>172.990005</v>
      </c>
      <c r="F751">
        <v>171.99179100000001</v>
      </c>
      <c r="G751">
        <v>91185900</v>
      </c>
      <c r="H751" s="2">
        <f t="shared" si="11"/>
        <v>1.9086921944035273E-2</v>
      </c>
    </row>
    <row r="752" spans="1:8" x14ac:dyDescent="0.35">
      <c r="A752" s="1">
        <v>44552</v>
      </c>
      <c r="B752">
        <v>173.03999300000001</v>
      </c>
      <c r="C752">
        <v>175.86000100000001</v>
      </c>
      <c r="D752">
        <v>172.14999399999999</v>
      </c>
      <c r="E752">
        <v>175.63999899999999</v>
      </c>
      <c r="F752">
        <v>174.62649500000001</v>
      </c>
      <c r="G752">
        <v>92135300</v>
      </c>
      <c r="H752" s="2">
        <f t="shared" si="11"/>
        <v>1.5318769428326107E-2</v>
      </c>
    </row>
    <row r="753" spans="1:8" x14ac:dyDescent="0.35">
      <c r="A753" s="1">
        <v>44553</v>
      </c>
      <c r="B753">
        <v>175.85000600000001</v>
      </c>
      <c r="C753">
        <v>176.85000600000001</v>
      </c>
      <c r="D753">
        <v>175.270004</v>
      </c>
      <c r="E753">
        <v>176.279999</v>
      </c>
      <c r="F753">
        <v>175.26281700000001</v>
      </c>
      <c r="G753">
        <v>68356600</v>
      </c>
      <c r="H753" s="2">
        <f t="shared" si="11"/>
        <v>3.643816918946996E-3</v>
      </c>
    </row>
    <row r="754" spans="1:8" x14ac:dyDescent="0.35">
      <c r="A754" s="1">
        <v>44557</v>
      </c>
      <c r="B754">
        <v>177.08999600000001</v>
      </c>
      <c r="C754">
        <v>180.41999799999999</v>
      </c>
      <c r="D754">
        <v>177.070007</v>
      </c>
      <c r="E754">
        <v>180.33000200000001</v>
      </c>
      <c r="F754">
        <v>179.28945899999999</v>
      </c>
      <c r="G754">
        <v>74919600</v>
      </c>
      <c r="H754" s="2">
        <f t="shared" si="11"/>
        <v>2.2974829946532882E-2</v>
      </c>
    </row>
    <row r="755" spans="1:8" x14ac:dyDescent="0.35">
      <c r="A755" s="1">
        <v>44558</v>
      </c>
      <c r="B755">
        <v>180.16000399999999</v>
      </c>
      <c r="C755">
        <v>181.33000200000001</v>
      </c>
      <c r="D755">
        <v>178.529999</v>
      </c>
      <c r="E755">
        <v>179.28999300000001</v>
      </c>
      <c r="F755">
        <v>178.25543200000001</v>
      </c>
      <c r="G755">
        <v>79144300</v>
      </c>
      <c r="H755" s="2">
        <f t="shared" si="11"/>
        <v>-5.7672544139383275E-3</v>
      </c>
    </row>
    <row r="756" spans="1:8" x14ac:dyDescent="0.35">
      <c r="A756" s="1">
        <v>44559</v>
      </c>
      <c r="B756">
        <v>179.33000200000001</v>
      </c>
      <c r="C756">
        <v>180.63000500000001</v>
      </c>
      <c r="D756">
        <v>178.13999899999999</v>
      </c>
      <c r="E756">
        <v>179.38000500000001</v>
      </c>
      <c r="F756">
        <v>178.34492499999999</v>
      </c>
      <c r="G756">
        <v>62348900</v>
      </c>
      <c r="H756" s="2">
        <f t="shared" si="11"/>
        <v>5.0204698262223957E-4</v>
      </c>
    </row>
    <row r="757" spans="1:8" x14ac:dyDescent="0.35">
      <c r="A757" s="1">
        <v>44560</v>
      </c>
      <c r="B757">
        <v>179.470001</v>
      </c>
      <c r="C757">
        <v>180.570007</v>
      </c>
      <c r="D757">
        <v>178.08999600000001</v>
      </c>
      <c r="E757">
        <v>178.199997</v>
      </c>
      <c r="F757">
        <v>177.17172199999999</v>
      </c>
      <c r="G757">
        <v>59773000</v>
      </c>
      <c r="H757" s="2">
        <f t="shared" si="11"/>
        <v>-6.5782582623967745E-3</v>
      </c>
    </row>
    <row r="758" spans="1:8" x14ac:dyDescent="0.35">
      <c r="A758" s="1">
        <v>44561</v>
      </c>
      <c r="B758">
        <v>178.08999600000001</v>
      </c>
      <c r="C758">
        <v>179.229996</v>
      </c>
      <c r="D758">
        <v>177.259995</v>
      </c>
      <c r="E758">
        <v>177.570007</v>
      </c>
      <c r="F758">
        <v>176.54536400000001</v>
      </c>
      <c r="G758">
        <v>64062300</v>
      </c>
      <c r="H758" s="2">
        <f t="shared" si="11"/>
        <v>-3.5352974781475144E-3</v>
      </c>
    </row>
    <row r="759" spans="1:8" x14ac:dyDescent="0.35">
      <c r="A759" s="1">
        <v>44564</v>
      </c>
      <c r="B759">
        <v>177.83000200000001</v>
      </c>
      <c r="C759">
        <v>182.88000500000001</v>
      </c>
      <c r="D759">
        <v>177.71000699999999</v>
      </c>
      <c r="E759">
        <v>182.009995</v>
      </c>
      <c r="F759">
        <v>180.959732</v>
      </c>
      <c r="G759">
        <v>104487900</v>
      </c>
      <c r="H759" s="2">
        <f t="shared" si="11"/>
        <v>2.5004155121759908E-2</v>
      </c>
    </row>
    <row r="760" spans="1:8" x14ac:dyDescent="0.35">
      <c r="A760" s="1">
        <v>44565</v>
      </c>
      <c r="B760">
        <v>182.63000500000001</v>
      </c>
      <c r="C760">
        <v>182.94000199999999</v>
      </c>
      <c r="D760">
        <v>179.11999499999999</v>
      </c>
      <c r="E760">
        <v>179.699997</v>
      </c>
      <c r="F760">
        <v>178.663071</v>
      </c>
      <c r="G760">
        <v>99310400</v>
      </c>
      <c r="H760" s="2">
        <f t="shared" si="11"/>
        <v>-1.2691599711323609E-2</v>
      </c>
    </row>
    <row r="761" spans="1:8" x14ac:dyDescent="0.35">
      <c r="A761" s="1">
        <v>44566</v>
      </c>
      <c r="B761">
        <v>179.61000100000001</v>
      </c>
      <c r="C761">
        <v>180.16999799999999</v>
      </c>
      <c r="D761">
        <v>174.63999899999999</v>
      </c>
      <c r="E761">
        <v>174.91999799999999</v>
      </c>
      <c r="F761">
        <v>173.91066000000001</v>
      </c>
      <c r="G761">
        <v>94537600</v>
      </c>
      <c r="H761" s="2">
        <f t="shared" si="11"/>
        <v>-2.6599883582635764E-2</v>
      </c>
    </row>
    <row r="762" spans="1:8" x14ac:dyDescent="0.35">
      <c r="A762" s="1">
        <v>44567</v>
      </c>
      <c r="B762">
        <v>172.699997</v>
      </c>
      <c r="C762">
        <v>175.300003</v>
      </c>
      <c r="D762">
        <v>171.63999899999999</v>
      </c>
      <c r="E762">
        <v>172</v>
      </c>
      <c r="F762">
        <v>171.00749200000001</v>
      </c>
      <c r="G762">
        <v>96904000</v>
      </c>
      <c r="H762" s="2">
        <f t="shared" si="11"/>
        <v>-1.6693334286454697E-2</v>
      </c>
    </row>
    <row r="763" spans="1:8" x14ac:dyDescent="0.35">
      <c r="A763" s="1">
        <v>44568</v>
      </c>
      <c r="B763">
        <v>172.88999899999999</v>
      </c>
      <c r="C763">
        <v>174.13999899999999</v>
      </c>
      <c r="D763">
        <v>171.029999</v>
      </c>
      <c r="E763">
        <v>172.16999799999999</v>
      </c>
      <c r="F763">
        <v>171.17652899999999</v>
      </c>
      <c r="G763">
        <v>86709100</v>
      </c>
      <c r="H763" s="2">
        <f t="shared" si="11"/>
        <v>9.8836046511618925E-4</v>
      </c>
    </row>
    <row r="764" spans="1:8" x14ac:dyDescent="0.35">
      <c r="A764" s="1">
        <v>44571</v>
      </c>
      <c r="B764">
        <v>169.08000200000001</v>
      </c>
      <c r="C764">
        <v>172.5</v>
      </c>
      <c r="D764">
        <v>168.16999799999999</v>
      </c>
      <c r="E764">
        <v>172.19000199999999</v>
      </c>
      <c r="F764">
        <v>171.196426</v>
      </c>
      <c r="G764">
        <v>106765600</v>
      </c>
      <c r="H764" s="2">
        <f t="shared" si="11"/>
        <v>1.1618749045938515E-4</v>
      </c>
    </row>
    <row r="765" spans="1:8" x14ac:dyDescent="0.35">
      <c r="A765" s="1">
        <v>44572</v>
      </c>
      <c r="B765">
        <v>172.320007</v>
      </c>
      <c r="C765">
        <v>175.179993</v>
      </c>
      <c r="D765">
        <v>170.820007</v>
      </c>
      <c r="E765">
        <v>175.08000200000001</v>
      </c>
      <c r="F765">
        <v>174.06973300000001</v>
      </c>
      <c r="G765">
        <v>76138300</v>
      </c>
      <c r="H765" s="2">
        <f t="shared" si="11"/>
        <v>1.6783785158443809E-2</v>
      </c>
    </row>
    <row r="766" spans="1:8" x14ac:dyDescent="0.35">
      <c r="A766" s="1">
        <v>44573</v>
      </c>
      <c r="B766">
        <v>176.11999499999999</v>
      </c>
      <c r="C766">
        <v>177.179993</v>
      </c>
      <c r="D766">
        <v>174.820007</v>
      </c>
      <c r="E766">
        <v>175.529999</v>
      </c>
      <c r="F766">
        <v>174.51713599999999</v>
      </c>
      <c r="G766">
        <v>74805200</v>
      </c>
      <c r="H766" s="2">
        <f t="shared" si="11"/>
        <v>2.5702364339703632E-3</v>
      </c>
    </row>
    <row r="767" spans="1:8" x14ac:dyDescent="0.35">
      <c r="A767" s="1">
        <v>44574</v>
      </c>
      <c r="B767">
        <v>175.779999</v>
      </c>
      <c r="C767">
        <v>176.61999499999999</v>
      </c>
      <c r="D767">
        <v>171.78999300000001</v>
      </c>
      <c r="E767">
        <v>172.19000199999999</v>
      </c>
      <c r="F767">
        <v>171.196426</v>
      </c>
      <c r="G767">
        <v>84505800</v>
      </c>
      <c r="H767" s="2">
        <f t="shared" si="11"/>
        <v>-1.9028069384310786E-2</v>
      </c>
    </row>
    <row r="768" spans="1:8" x14ac:dyDescent="0.35">
      <c r="A768" s="1">
        <v>44575</v>
      </c>
      <c r="B768">
        <v>171.33999600000001</v>
      </c>
      <c r="C768">
        <v>173.779999</v>
      </c>
      <c r="D768">
        <v>171.08999600000001</v>
      </c>
      <c r="E768">
        <v>173.070007</v>
      </c>
      <c r="F768">
        <v>172.07135</v>
      </c>
      <c r="G768">
        <v>80440800</v>
      </c>
      <c r="H768" s="2">
        <f t="shared" si="11"/>
        <v>5.1106625807462169E-3</v>
      </c>
    </row>
    <row r="769" spans="1:8" x14ac:dyDescent="0.35">
      <c r="A769" s="1">
        <v>44579</v>
      </c>
      <c r="B769">
        <v>171.509995</v>
      </c>
      <c r="C769">
        <v>172.53999300000001</v>
      </c>
      <c r="D769">
        <v>169.41000399999999</v>
      </c>
      <c r="E769">
        <v>169.800003</v>
      </c>
      <c r="F769">
        <v>168.82020600000001</v>
      </c>
      <c r="G769">
        <v>90956700</v>
      </c>
      <c r="H769" s="2">
        <f t="shared" si="11"/>
        <v>-1.8894111444740402E-2</v>
      </c>
    </row>
    <row r="770" spans="1:8" x14ac:dyDescent="0.35">
      <c r="A770" s="1">
        <v>44580</v>
      </c>
      <c r="B770">
        <v>170</v>
      </c>
      <c r="C770">
        <v>171.08000200000001</v>
      </c>
      <c r="D770">
        <v>165.94000199999999</v>
      </c>
      <c r="E770">
        <v>166.229996</v>
      </c>
      <c r="F770">
        <v>165.27079800000001</v>
      </c>
      <c r="G770">
        <v>94815000</v>
      </c>
      <c r="H770" s="2">
        <f t="shared" si="11"/>
        <v>-2.1024775835840281E-2</v>
      </c>
    </row>
    <row r="771" spans="1:8" x14ac:dyDescent="0.35">
      <c r="A771" s="1">
        <v>44581</v>
      </c>
      <c r="B771">
        <v>166.979996</v>
      </c>
      <c r="C771">
        <v>169.679993</v>
      </c>
      <c r="D771">
        <v>164.179993</v>
      </c>
      <c r="E771">
        <v>164.509995</v>
      </c>
      <c r="F771">
        <v>163.56073000000001</v>
      </c>
      <c r="G771">
        <v>91420500</v>
      </c>
      <c r="H771" s="2">
        <f t="shared" si="11"/>
        <v>-1.034711569144231E-2</v>
      </c>
    </row>
    <row r="772" spans="1:8" x14ac:dyDescent="0.35">
      <c r="A772" s="1">
        <v>44582</v>
      </c>
      <c r="B772">
        <v>164.41999799999999</v>
      </c>
      <c r="C772">
        <v>166.33000200000001</v>
      </c>
      <c r="D772">
        <v>162.300003</v>
      </c>
      <c r="E772">
        <v>162.41000399999999</v>
      </c>
      <c r="F772">
        <v>161.47287</v>
      </c>
      <c r="G772">
        <v>122848900</v>
      </c>
      <c r="H772" s="2">
        <f t="shared" ref="H772:H835" si="12">E772/E771-1</f>
        <v>-1.2765127127990161E-2</v>
      </c>
    </row>
    <row r="773" spans="1:8" x14ac:dyDescent="0.35">
      <c r="A773" s="1">
        <v>44585</v>
      </c>
      <c r="B773">
        <v>160.020004</v>
      </c>
      <c r="C773">
        <v>162.300003</v>
      </c>
      <c r="D773">
        <v>154.699997</v>
      </c>
      <c r="E773">
        <v>161.61999499999999</v>
      </c>
      <c r="F773">
        <v>160.68739299999999</v>
      </c>
      <c r="G773">
        <v>162294600</v>
      </c>
      <c r="H773" s="2">
        <f t="shared" si="12"/>
        <v>-4.8642877935031192E-3</v>
      </c>
    </row>
    <row r="774" spans="1:8" x14ac:dyDescent="0.35">
      <c r="A774" s="1">
        <v>44586</v>
      </c>
      <c r="B774">
        <v>158.979996</v>
      </c>
      <c r="C774">
        <v>162.759995</v>
      </c>
      <c r="D774">
        <v>157.020004</v>
      </c>
      <c r="E774">
        <v>159.779999</v>
      </c>
      <c r="F774">
        <v>158.85801699999999</v>
      </c>
      <c r="G774">
        <v>115798400</v>
      </c>
      <c r="H774" s="2">
        <f t="shared" si="12"/>
        <v>-1.1384705215465307E-2</v>
      </c>
    </row>
    <row r="775" spans="1:8" x14ac:dyDescent="0.35">
      <c r="A775" s="1">
        <v>44587</v>
      </c>
      <c r="B775">
        <v>163.5</v>
      </c>
      <c r="C775">
        <v>164.38999899999999</v>
      </c>
      <c r="D775">
        <v>157.820007</v>
      </c>
      <c r="E775">
        <v>159.69000199999999</v>
      </c>
      <c r="F775">
        <v>158.76852400000001</v>
      </c>
      <c r="G775">
        <v>108275300</v>
      </c>
      <c r="H775" s="2">
        <f t="shared" si="12"/>
        <v>-5.6325573014937014E-4</v>
      </c>
    </row>
    <row r="776" spans="1:8" x14ac:dyDescent="0.35">
      <c r="A776" s="1">
        <v>44588</v>
      </c>
      <c r="B776">
        <v>162.449997</v>
      </c>
      <c r="C776">
        <v>163.83999600000001</v>
      </c>
      <c r="D776">
        <v>158.279999</v>
      </c>
      <c r="E776">
        <v>159.220001</v>
      </c>
      <c r="F776">
        <v>158.30123900000001</v>
      </c>
      <c r="G776">
        <v>121954600</v>
      </c>
      <c r="H776" s="2">
        <f t="shared" si="12"/>
        <v>-2.9432086800273982E-3</v>
      </c>
    </row>
    <row r="777" spans="1:8" x14ac:dyDescent="0.35">
      <c r="A777" s="1">
        <v>44589</v>
      </c>
      <c r="B777">
        <v>165.71000699999999</v>
      </c>
      <c r="C777">
        <v>170.35000600000001</v>
      </c>
      <c r="D777">
        <v>162.800003</v>
      </c>
      <c r="E777">
        <v>170.33000200000001</v>
      </c>
      <c r="F777">
        <v>169.34715299999999</v>
      </c>
      <c r="G777">
        <v>179935700</v>
      </c>
      <c r="H777" s="2">
        <f t="shared" si="12"/>
        <v>6.9777671964717625E-2</v>
      </c>
    </row>
    <row r="778" spans="1:8" x14ac:dyDescent="0.35">
      <c r="A778" s="1">
        <v>44592</v>
      </c>
      <c r="B778">
        <v>170.16000399999999</v>
      </c>
      <c r="C778">
        <v>175</v>
      </c>
      <c r="D778">
        <v>169.509995</v>
      </c>
      <c r="E778">
        <v>174.779999</v>
      </c>
      <c r="F778">
        <v>173.771469</v>
      </c>
      <c r="G778">
        <v>115541600</v>
      </c>
      <c r="H778" s="2">
        <f t="shared" si="12"/>
        <v>2.6125737965998486E-2</v>
      </c>
    </row>
    <row r="779" spans="1:8" x14ac:dyDescent="0.35">
      <c r="A779" s="1">
        <v>44593</v>
      </c>
      <c r="B779">
        <v>174.009995</v>
      </c>
      <c r="C779">
        <v>174.83999600000001</v>
      </c>
      <c r="D779">
        <v>172.30999800000001</v>
      </c>
      <c r="E779">
        <v>174.61000100000001</v>
      </c>
      <c r="F779">
        <v>173.602463</v>
      </c>
      <c r="G779">
        <v>86213900</v>
      </c>
      <c r="H779" s="2">
        <f t="shared" si="12"/>
        <v>-9.7263989571250153E-4</v>
      </c>
    </row>
    <row r="780" spans="1:8" x14ac:dyDescent="0.35">
      <c r="A780" s="1">
        <v>44594</v>
      </c>
      <c r="B780">
        <v>174.75</v>
      </c>
      <c r="C780">
        <v>175.88000500000001</v>
      </c>
      <c r="D780">
        <v>173.33000200000001</v>
      </c>
      <c r="E780">
        <v>175.83999600000001</v>
      </c>
      <c r="F780">
        <v>174.82534799999999</v>
      </c>
      <c r="G780">
        <v>84914300</v>
      </c>
      <c r="H780" s="2">
        <f t="shared" si="12"/>
        <v>7.0442414120368557E-3</v>
      </c>
    </row>
    <row r="781" spans="1:8" x14ac:dyDescent="0.35">
      <c r="A781" s="1">
        <v>44595</v>
      </c>
      <c r="B781">
        <v>174.479996</v>
      </c>
      <c r="C781">
        <v>176.240005</v>
      </c>
      <c r="D781">
        <v>172.11999499999999</v>
      </c>
      <c r="E781">
        <v>172.89999399999999</v>
      </c>
      <c r="F781">
        <v>171.90231299999999</v>
      </c>
      <c r="G781">
        <v>89418100</v>
      </c>
      <c r="H781" s="2">
        <f t="shared" si="12"/>
        <v>-1.6719756977246591E-2</v>
      </c>
    </row>
    <row r="782" spans="1:8" x14ac:dyDescent="0.35">
      <c r="A782" s="1">
        <v>44596</v>
      </c>
      <c r="B782">
        <v>171.679993</v>
      </c>
      <c r="C782">
        <v>174.10000600000001</v>
      </c>
      <c r="D782">
        <v>170.679993</v>
      </c>
      <c r="E782">
        <v>172.38999899999999</v>
      </c>
      <c r="F782">
        <v>171.613632</v>
      </c>
      <c r="G782">
        <v>82465400</v>
      </c>
      <c r="H782" s="2">
        <f t="shared" si="12"/>
        <v>-2.9496530809596244E-3</v>
      </c>
    </row>
    <row r="783" spans="1:8" x14ac:dyDescent="0.35">
      <c r="A783" s="1">
        <v>44599</v>
      </c>
      <c r="B783">
        <v>172.86000100000001</v>
      </c>
      <c r="C783">
        <v>173.949997</v>
      </c>
      <c r="D783">
        <v>170.949997</v>
      </c>
      <c r="E783">
        <v>171.66000399999999</v>
      </c>
      <c r="F783">
        <v>170.88691700000001</v>
      </c>
      <c r="G783">
        <v>77251200</v>
      </c>
      <c r="H783" s="2">
        <f t="shared" si="12"/>
        <v>-4.2345553932047197E-3</v>
      </c>
    </row>
    <row r="784" spans="1:8" x14ac:dyDescent="0.35">
      <c r="A784" s="1">
        <v>44600</v>
      </c>
      <c r="B784">
        <v>171.729996</v>
      </c>
      <c r="C784">
        <v>175.35000600000001</v>
      </c>
      <c r="D784">
        <v>171.429993</v>
      </c>
      <c r="E784">
        <v>174.83000200000001</v>
      </c>
      <c r="F784">
        <v>174.042633</v>
      </c>
      <c r="G784">
        <v>74829200</v>
      </c>
      <c r="H784" s="2">
        <f t="shared" si="12"/>
        <v>1.8466724491047026E-2</v>
      </c>
    </row>
    <row r="785" spans="1:8" x14ac:dyDescent="0.35">
      <c r="A785" s="1">
        <v>44601</v>
      </c>
      <c r="B785">
        <v>176.050003</v>
      </c>
      <c r="C785">
        <v>176.64999399999999</v>
      </c>
      <c r="D785">
        <v>174.89999399999999</v>
      </c>
      <c r="E785">
        <v>176.279999</v>
      </c>
      <c r="F785">
        <v>175.48611500000001</v>
      </c>
      <c r="G785">
        <v>71285000</v>
      </c>
      <c r="H785" s="2">
        <f t="shared" si="12"/>
        <v>8.2937538375136288E-3</v>
      </c>
    </row>
    <row r="786" spans="1:8" x14ac:dyDescent="0.35">
      <c r="A786" s="1">
        <v>44602</v>
      </c>
      <c r="B786">
        <v>174.13999899999999</v>
      </c>
      <c r="C786">
        <v>175.479996</v>
      </c>
      <c r="D786">
        <v>171.550003</v>
      </c>
      <c r="E786">
        <v>172.11999499999999</v>
      </c>
      <c r="F786">
        <v>171.34483299999999</v>
      </c>
      <c r="G786">
        <v>90865900</v>
      </c>
      <c r="H786" s="2">
        <f t="shared" si="12"/>
        <v>-2.3598842884041571E-2</v>
      </c>
    </row>
    <row r="787" spans="1:8" x14ac:dyDescent="0.35">
      <c r="A787" s="1">
        <v>44603</v>
      </c>
      <c r="B787">
        <v>172.33000200000001</v>
      </c>
      <c r="C787">
        <v>173.08000200000001</v>
      </c>
      <c r="D787">
        <v>168.03999300000001</v>
      </c>
      <c r="E787">
        <v>168.63999899999999</v>
      </c>
      <c r="F787">
        <v>167.88052400000001</v>
      </c>
      <c r="G787">
        <v>98670700</v>
      </c>
      <c r="H787" s="2">
        <f t="shared" si="12"/>
        <v>-2.0218429590356468E-2</v>
      </c>
    </row>
    <row r="788" spans="1:8" x14ac:dyDescent="0.35">
      <c r="A788" s="1">
        <v>44606</v>
      </c>
      <c r="B788">
        <v>167.36999499999999</v>
      </c>
      <c r="C788">
        <v>169.58000200000001</v>
      </c>
      <c r="D788">
        <v>166.55999800000001</v>
      </c>
      <c r="E788">
        <v>168.88000500000001</v>
      </c>
      <c r="F788">
        <v>168.11943099999999</v>
      </c>
      <c r="G788">
        <v>86185500</v>
      </c>
      <c r="H788" s="2">
        <f t="shared" si="12"/>
        <v>1.4231854923103526E-3</v>
      </c>
    </row>
    <row r="789" spans="1:8" x14ac:dyDescent="0.35">
      <c r="A789" s="1">
        <v>44607</v>
      </c>
      <c r="B789">
        <v>170.970001</v>
      </c>
      <c r="C789">
        <v>172.949997</v>
      </c>
      <c r="D789">
        <v>170.25</v>
      </c>
      <c r="E789">
        <v>172.78999300000001</v>
      </c>
      <c r="F789">
        <v>172.01182600000001</v>
      </c>
      <c r="G789">
        <v>62527400</v>
      </c>
      <c r="H789" s="2">
        <f t="shared" si="12"/>
        <v>2.3152462602070711E-2</v>
      </c>
    </row>
    <row r="790" spans="1:8" x14ac:dyDescent="0.35">
      <c r="A790" s="1">
        <v>44608</v>
      </c>
      <c r="B790">
        <v>171.85000600000001</v>
      </c>
      <c r="C790">
        <v>173.33999600000001</v>
      </c>
      <c r="D790">
        <v>170.050003</v>
      </c>
      <c r="E790">
        <v>172.550003</v>
      </c>
      <c r="F790">
        <v>171.772919</v>
      </c>
      <c r="G790">
        <v>61177400</v>
      </c>
      <c r="H790" s="2">
        <f t="shared" si="12"/>
        <v>-1.3889114516024703E-3</v>
      </c>
    </row>
    <row r="791" spans="1:8" x14ac:dyDescent="0.35">
      <c r="A791" s="1">
        <v>44609</v>
      </c>
      <c r="B791">
        <v>171.029999</v>
      </c>
      <c r="C791">
        <v>171.91000399999999</v>
      </c>
      <c r="D791">
        <v>168.470001</v>
      </c>
      <c r="E791">
        <v>168.88000500000001</v>
      </c>
      <c r="F791">
        <v>168.11943099999999</v>
      </c>
      <c r="G791">
        <v>69589300</v>
      </c>
      <c r="H791" s="2">
        <f t="shared" si="12"/>
        <v>-2.1269185373471111E-2</v>
      </c>
    </row>
    <row r="792" spans="1:8" x14ac:dyDescent="0.35">
      <c r="A792" s="1">
        <v>44610</v>
      </c>
      <c r="B792">
        <v>169.820007</v>
      </c>
      <c r="C792">
        <v>170.53999300000001</v>
      </c>
      <c r="D792">
        <v>166.19000199999999</v>
      </c>
      <c r="E792">
        <v>167.300003</v>
      </c>
      <c r="F792">
        <v>166.54655500000001</v>
      </c>
      <c r="G792">
        <v>82772700</v>
      </c>
      <c r="H792" s="2">
        <f t="shared" si="12"/>
        <v>-9.355767131816517E-3</v>
      </c>
    </row>
    <row r="793" spans="1:8" x14ac:dyDescent="0.35">
      <c r="A793" s="1">
        <v>44614</v>
      </c>
      <c r="B793">
        <v>164.979996</v>
      </c>
      <c r="C793">
        <v>166.69000199999999</v>
      </c>
      <c r="D793">
        <v>162.14999399999999</v>
      </c>
      <c r="E793">
        <v>164.320007</v>
      </c>
      <c r="F793">
        <v>163.579971</v>
      </c>
      <c r="G793">
        <v>91162800</v>
      </c>
      <c r="H793" s="2">
        <f t="shared" si="12"/>
        <v>-1.7812288981250091E-2</v>
      </c>
    </row>
    <row r="794" spans="1:8" x14ac:dyDescent="0.35">
      <c r="A794" s="1">
        <v>44615</v>
      </c>
      <c r="B794">
        <v>165.53999300000001</v>
      </c>
      <c r="C794">
        <v>166.14999399999999</v>
      </c>
      <c r="D794">
        <v>159.75</v>
      </c>
      <c r="E794">
        <v>160.070007</v>
      </c>
      <c r="F794">
        <v>159.349121</v>
      </c>
      <c r="G794">
        <v>90009200</v>
      </c>
      <c r="H794" s="2">
        <f t="shared" si="12"/>
        <v>-2.5864166376283082E-2</v>
      </c>
    </row>
    <row r="795" spans="1:8" x14ac:dyDescent="0.35">
      <c r="A795" s="1">
        <v>44616</v>
      </c>
      <c r="B795">
        <v>152.58000200000001</v>
      </c>
      <c r="C795">
        <v>162.85000600000001</v>
      </c>
      <c r="D795">
        <v>152</v>
      </c>
      <c r="E795">
        <v>162.740005</v>
      </c>
      <c r="F795">
        <v>162.00709499999999</v>
      </c>
      <c r="G795">
        <v>141147500</v>
      </c>
      <c r="H795" s="2">
        <f t="shared" si="12"/>
        <v>1.6680189187472161E-2</v>
      </c>
    </row>
    <row r="796" spans="1:8" x14ac:dyDescent="0.35">
      <c r="A796" s="1">
        <v>44617</v>
      </c>
      <c r="B796">
        <v>163.83999600000001</v>
      </c>
      <c r="C796">
        <v>165.11999499999999</v>
      </c>
      <c r="D796">
        <v>160.86999499999999</v>
      </c>
      <c r="E796">
        <v>164.85000600000001</v>
      </c>
      <c r="F796">
        <v>164.10758999999999</v>
      </c>
      <c r="G796">
        <v>91974200</v>
      </c>
      <c r="H796" s="2">
        <f t="shared" si="12"/>
        <v>1.2965472134525369E-2</v>
      </c>
    </row>
    <row r="797" spans="1:8" x14ac:dyDescent="0.35">
      <c r="A797" s="1">
        <v>44620</v>
      </c>
      <c r="B797">
        <v>163.05999800000001</v>
      </c>
      <c r="C797">
        <v>165.41999799999999</v>
      </c>
      <c r="D797">
        <v>162.429993</v>
      </c>
      <c r="E797">
        <v>165.11999499999999</v>
      </c>
      <c r="F797">
        <v>164.376373</v>
      </c>
      <c r="G797">
        <v>95056600</v>
      </c>
      <c r="H797" s="2">
        <f t="shared" si="12"/>
        <v>1.6377858063285622E-3</v>
      </c>
    </row>
    <row r="798" spans="1:8" x14ac:dyDescent="0.35">
      <c r="A798" s="1">
        <v>44621</v>
      </c>
      <c r="B798">
        <v>164.699997</v>
      </c>
      <c r="C798">
        <v>166.60000600000001</v>
      </c>
      <c r="D798">
        <v>161.970001</v>
      </c>
      <c r="E798">
        <v>163.199997</v>
      </c>
      <c r="F798">
        <v>162.46502699999999</v>
      </c>
      <c r="G798">
        <v>83474400</v>
      </c>
      <c r="H798" s="2">
        <f t="shared" si="12"/>
        <v>-1.1627895216445472E-2</v>
      </c>
    </row>
    <row r="799" spans="1:8" x14ac:dyDescent="0.35">
      <c r="A799" s="1">
        <v>44622</v>
      </c>
      <c r="B799">
        <v>164.38999899999999</v>
      </c>
      <c r="C799">
        <v>167.36000100000001</v>
      </c>
      <c r="D799">
        <v>162.949997</v>
      </c>
      <c r="E799">
        <v>166.55999800000001</v>
      </c>
      <c r="F799">
        <v>165.80989099999999</v>
      </c>
      <c r="G799">
        <v>79724800</v>
      </c>
      <c r="H799" s="2">
        <f t="shared" si="12"/>
        <v>2.0588241800028939E-2</v>
      </c>
    </row>
    <row r="800" spans="1:8" x14ac:dyDescent="0.35">
      <c r="A800" s="1">
        <v>44623</v>
      </c>
      <c r="B800">
        <v>168.470001</v>
      </c>
      <c r="C800">
        <v>168.91000399999999</v>
      </c>
      <c r="D800">
        <v>165.550003</v>
      </c>
      <c r="E800">
        <v>166.229996</v>
      </c>
      <c r="F800">
        <v>165.481369</v>
      </c>
      <c r="G800">
        <v>76678400</v>
      </c>
      <c r="H800" s="2">
        <f t="shared" si="12"/>
        <v>-1.9812800430029087E-3</v>
      </c>
    </row>
    <row r="801" spans="1:8" x14ac:dyDescent="0.35">
      <c r="A801" s="1">
        <v>44624</v>
      </c>
      <c r="B801">
        <v>164.490005</v>
      </c>
      <c r="C801">
        <v>165.550003</v>
      </c>
      <c r="D801">
        <v>162.10000600000001</v>
      </c>
      <c r="E801">
        <v>163.16999799999999</v>
      </c>
      <c r="F801">
        <v>162.43514999999999</v>
      </c>
      <c r="G801">
        <v>83737200</v>
      </c>
      <c r="H801" s="2">
        <f t="shared" si="12"/>
        <v>-1.8408217972886276E-2</v>
      </c>
    </row>
    <row r="802" spans="1:8" x14ac:dyDescent="0.35">
      <c r="A802" s="1">
        <v>44627</v>
      </c>
      <c r="B802">
        <v>163.36000100000001</v>
      </c>
      <c r="C802">
        <v>165.020004</v>
      </c>
      <c r="D802">
        <v>159.03999300000001</v>
      </c>
      <c r="E802">
        <v>159.300003</v>
      </c>
      <c r="F802">
        <v>158.582596</v>
      </c>
      <c r="G802">
        <v>96418800</v>
      </c>
      <c r="H802" s="2">
        <f t="shared" si="12"/>
        <v>-2.3717564793988566E-2</v>
      </c>
    </row>
    <row r="803" spans="1:8" x14ac:dyDescent="0.35">
      <c r="A803" s="1">
        <v>44628</v>
      </c>
      <c r="B803">
        <v>158.820007</v>
      </c>
      <c r="C803">
        <v>162.88000500000001</v>
      </c>
      <c r="D803">
        <v>155.800003</v>
      </c>
      <c r="E803">
        <v>157.44000199999999</v>
      </c>
      <c r="F803">
        <v>156.73095699999999</v>
      </c>
      <c r="G803">
        <v>131148300</v>
      </c>
      <c r="H803" s="2">
        <f t="shared" si="12"/>
        <v>-1.1676088920098859E-2</v>
      </c>
    </row>
    <row r="804" spans="1:8" x14ac:dyDescent="0.35">
      <c r="A804" s="1">
        <v>44629</v>
      </c>
      <c r="B804">
        <v>161.479996</v>
      </c>
      <c r="C804">
        <v>163.41000399999999</v>
      </c>
      <c r="D804">
        <v>159.41000399999999</v>
      </c>
      <c r="E804">
        <v>162.949997</v>
      </c>
      <c r="F804">
        <v>162.21615600000001</v>
      </c>
      <c r="G804">
        <v>91454900</v>
      </c>
      <c r="H804" s="2">
        <f t="shared" si="12"/>
        <v>3.4997427146882254E-2</v>
      </c>
    </row>
    <row r="805" spans="1:8" x14ac:dyDescent="0.35">
      <c r="A805" s="1">
        <v>44630</v>
      </c>
      <c r="B805">
        <v>160.199997</v>
      </c>
      <c r="C805">
        <v>160.38999899999999</v>
      </c>
      <c r="D805">
        <v>155.979996</v>
      </c>
      <c r="E805">
        <v>158.520004</v>
      </c>
      <c r="F805">
        <v>157.806107</v>
      </c>
      <c r="G805">
        <v>105342000</v>
      </c>
      <c r="H805" s="2">
        <f t="shared" si="12"/>
        <v>-2.718621099452978E-2</v>
      </c>
    </row>
    <row r="806" spans="1:8" x14ac:dyDescent="0.35">
      <c r="A806" s="1">
        <v>44631</v>
      </c>
      <c r="B806">
        <v>158.929993</v>
      </c>
      <c r="C806">
        <v>159.279999</v>
      </c>
      <c r="D806">
        <v>154.5</v>
      </c>
      <c r="E806">
        <v>154.729996</v>
      </c>
      <c r="F806">
        <v>154.03315699999999</v>
      </c>
      <c r="G806">
        <v>96970100</v>
      </c>
      <c r="H806" s="2">
        <f t="shared" si="12"/>
        <v>-2.3908704922818491E-2</v>
      </c>
    </row>
    <row r="807" spans="1:8" x14ac:dyDescent="0.35">
      <c r="A807" s="1">
        <v>44634</v>
      </c>
      <c r="B807">
        <v>151.449997</v>
      </c>
      <c r="C807">
        <v>154.11999499999999</v>
      </c>
      <c r="D807">
        <v>150.10000600000001</v>
      </c>
      <c r="E807">
        <v>150.61999499999999</v>
      </c>
      <c r="F807">
        <v>149.941666</v>
      </c>
      <c r="G807">
        <v>108732100</v>
      </c>
      <c r="H807" s="2">
        <f t="shared" si="12"/>
        <v>-2.6562406167192076E-2</v>
      </c>
    </row>
    <row r="808" spans="1:8" x14ac:dyDescent="0.35">
      <c r="A808" s="1">
        <v>44635</v>
      </c>
      <c r="B808">
        <v>150.89999399999999</v>
      </c>
      <c r="C808">
        <v>155.570007</v>
      </c>
      <c r="D808">
        <v>150.38000500000001</v>
      </c>
      <c r="E808">
        <v>155.08999600000001</v>
      </c>
      <c r="F808">
        <v>154.391525</v>
      </c>
      <c r="G808">
        <v>92964300</v>
      </c>
      <c r="H808" s="2">
        <f t="shared" si="12"/>
        <v>2.9677341311822758E-2</v>
      </c>
    </row>
    <row r="809" spans="1:8" x14ac:dyDescent="0.35">
      <c r="A809" s="1">
        <v>44636</v>
      </c>
      <c r="B809">
        <v>157.050003</v>
      </c>
      <c r="C809">
        <v>160</v>
      </c>
      <c r="D809">
        <v>154.46000699999999</v>
      </c>
      <c r="E809">
        <v>159.58999600000001</v>
      </c>
      <c r="F809">
        <v>158.87127699999999</v>
      </c>
      <c r="G809">
        <v>102300200</v>
      </c>
      <c r="H809" s="2">
        <f t="shared" si="12"/>
        <v>2.901541115521078E-2</v>
      </c>
    </row>
    <row r="810" spans="1:8" x14ac:dyDescent="0.35">
      <c r="A810" s="1">
        <v>44637</v>
      </c>
      <c r="B810">
        <v>158.61000100000001</v>
      </c>
      <c r="C810">
        <v>161</v>
      </c>
      <c r="D810">
        <v>157.63000500000001</v>
      </c>
      <c r="E810">
        <v>160.61999499999999</v>
      </c>
      <c r="F810">
        <v>159.896637</v>
      </c>
      <c r="G810">
        <v>75615400</v>
      </c>
      <c r="H810" s="2">
        <f t="shared" si="12"/>
        <v>6.4540323692969803E-3</v>
      </c>
    </row>
    <row r="811" spans="1:8" x14ac:dyDescent="0.35">
      <c r="A811" s="1">
        <v>44638</v>
      </c>
      <c r="B811">
        <v>160.509995</v>
      </c>
      <c r="C811">
        <v>164.479996</v>
      </c>
      <c r="D811">
        <v>159.759995</v>
      </c>
      <c r="E811">
        <v>163.979996</v>
      </c>
      <c r="F811">
        <v>163.241501</v>
      </c>
      <c r="G811">
        <v>123511700</v>
      </c>
      <c r="H811" s="2">
        <f t="shared" si="12"/>
        <v>2.0918945988013471E-2</v>
      </c>
    </row>
    <row r="812" spans="1:8" x14ac:dyDescent="0.35">
      <c r="A812" s="1">
        <v>44641</v>
      </c>
      <c r="B812">
        <v>163.509995</v>
      </c>
      <c r="C812">
        <v>166.35000600000001</v>
      </c>
      <c r="D812">
        <v>163.009995</v>
      </c>
      <c r="E812">
        <v>165.38000500000001</v>
      </c>
      <c r="F812">
        <v>164.63520800000001</v>
      </c>
      <c r="G812">
        <v>95811400</v>
      </c>
      <c r="H812" s="2">
        <f t="shared" si="12"/>
        <v>8.5376816328255334E-3</v>
      </c>
    </row>
    <row r="813" spans="1:8" x14ac:dyDescent="0.35">
      <c r="A813" s="1">
        <v>44642</v>
      </c>
      <c r="B813">
        <v>165.509995</v>
      </c>
      <c r="C813">
        <v>169.41999799999999</v>
      </c>
      <c r="D813">
        <v>164.91000399999999</v>
      </c>
      <c r="E813">
        <v>168.820007</v>
      </c>
      <c r="F813">
        <v>168.059708</v>
      </c>
      <c r="G813">
        <v>81532000</v>
      </c>
      <c r="H813" s="2">
        <f t="shared" si="12"/>
        <v>2.0800591945803859E-2</v>
      </c>
    </row>
    <row r="814" spans="1:8" x14ac:dyDescent="0.35">
      <c r="A814" s="1">
        <v>44643</v>
      </c>
      <c r="B814">
        <v>167.990005</v>
      </c>
      <c r="C814">
        <v>172.63999899999999</v>
      </c>
      <c r="D814">
        <v>167.64999399999999</v>
      </c>
      <c r="E814">
        <v>170.21000699999999</v>
      </c>
      <c r="F814">
        <v>169.443466</v>
      </c>
      <c r="G814">
        <v>98062700</v>
      </c>
      <c r="H814" s="2">
        <f t="shared" si="12"/>
        <v>8.2336212674127829E-3</v>
      </c>
    </row>
    <row r="815" spans="1:8" x14ac:dyDescent="0.35">
      <c r="A815" s="1">
        <v>44644</v>
      </c>
      <c r="B815">
        <v>171.05999800000001</v>
      </c>
      <c r="C815">
        <v>174.13999899999999</v>
      </c>
      <c r="D815">
        <v>170.21000699999999</v>
      </c>
      <c r="E815">
        <v>174.070007</v>
      </c>
      <c r="F815">
        <v>173.286057</v>
      </c>
      <c r="G815">
        <v>90131400</v>
      </c>
      <c r="H815" s="2">
        <f t="shared" si="12"/>
        <v>2.2677867582721056E-2</v>
      </c>
    </row>
    <row r="816" spans="1:8" x14ac:dyDescent="0.35">
      <c r="A816" s="1">
        <v>44645</v>
      </c>
      <c r="B816">
        <v>173.88000500000001</v>
      </c>
      <c r="C816">
        <v>175.279999</v>
      </c>
      <c r="D816">
        <v>172.75</v>
      </c>
      <c r="E816">
        <v>174.720001</v>
      </c>
      <c r="F816">
        <v>173.93313599999999</v>
      </c>
      <c r="G816">
        <v>80546200</v>
      </c>
      <c r="H816" s="2">
        <f t="shared" si="12"/>
        <v>3.7340953286684186E-3</v>
      </c>
    </row>
    <row r="817" spans="1:8" x14ac:dyDescent="0.35">
      <c r="A817" s="1">
        <v>44648</v>
      </c>
      <c r="B817">
        <v>172.16999799999999</v>
      </c>
      <c r="C817">
        <v>175.729996</v>
      </c>
      <c r="D817">
        <v>172</v>
      </c>
      <c r="E817">
        <v>175.60000600000001</v>
      </c>
      <c r="F817">
        <v>174.80917400000001</v>
      </c>
      <c r="G817">
        <v>90371900</v>
      </c>
      <c r="H817" s="2">
        <f t="shared" si="12"/>
        <v>5.0366586250192302E-3</v>
      </c>
    </row>
    <row r="818" spans="1:8" x14ac:dyDescent="0.35">
      <c r="A818" s="1">
        <v>44649</v>
      </c>
      <c r="B818">
        <v>176.69000199999999</v>
      </c>
      <c r="C818">
        <v>179.009995</v>
      </c>
      <c r="D818">
        <v>176.33999600000001</v>
      </c>
      <c r="E818">
        <v>178.96000699999999</v>
      </c>
      <c r="F818">
        <v>178.15403699999999</v>
      </c>
      <c r="G818">
        <v>100589400</v>
      </c>
      <c r="H818" s="2">
        <f t="shared" si="12"/>
        <v>1.9134401396318834E-2</v>
      </c>
    </row>
    <row r="819" spans="1:8" x14ac:dyDescent="0.35">
      <c r="A819" s="1">
        <v>44650</v>
      </c>
      <c r="B819">
        <v>178.550003</v>
      </c>
      <c r="C819">
        <v>179.61000100000001</v>
      </c>
      <c r="D819">
        <v>176.699997</v>
      </c>
      <c r="E819">
        <v>177.770004</v>
      </c>
      <c r="F819">
        <v>176.96940599999999</v>
      </c>
      <c r="G819">
        <v>92633200</v>
      </c>
      <c r="H819" s="2">
        <f t="shared" si="12"/>
        <v>-6.6495471247941529E-3</v>
      </c>
    </row>
    <row r="820" spans="1:8" x14ac:dyDescent="0.35">
      <c r="A820" s="1">
        <v>44651</v>
      </c>
      <c r="B820">
        <v>177.83999600000001</v>
      </c>
      <c r="C820">
        <v>178.029999</v>
      </c>
      <c r="D820">
        <v>174.39999399999999</v>
      </c>
      <c r="E820">
        <v>174.61000100000001</v>
      </c>
      <c r="F820">
        <v>173.82363900000001</v>
      </c>
      <c r="G820">
        <v>103049300</v>
      </c>
      <c r="H820" s="2">
        <f t="shared" si="12"/>
        <v>-1.777579416603936E-2</v>
      </c>
    </row>
    <row r="821" spans="1:8" x14ac:dyDescent="0.35">
      <c r="A821" s="1">
        <v>44652</v>
      </c>
      <c r="B821">
        <v>174.029999</v>
      </c>
      <c r="C821">
        <v>174.88000500000001</v>
      </c>
      <c r="D821">
        <v>171.94000199999999</v>
      </c>
      <c r="E821">
        <v>174.30999800000001</v>
      </c>
      <c r="F821">
        <v>173.52496300000001</v>
      </c>
      <c r="G821">
        <v>78751300</v>
      </c>
      <c r="H821" s="2">
        <f t="shared" si="12"/>
        <v>-1.7181318268247869E-3</v>
      </c>
    </row>
    <row r="822" spans="1:8" x14ac:dyDescent="0.35">
      <c r="A822" s="1">
        <v>44655</v>
      </c>
      <c r="B822">
        <v>174.570007</v>
      </c>
      <c r="C822">
        <v>178.490005</v>
      </c>
      <c r="D822">
        <v>174.44000199999999</v>
      </c>
      <c r="E822">
        <v>178.44000199999999</v>
      </c>
      <c r="F822">
        <v>177.636368</v>
      </c>
      <c r="G822">
        <v>76468400</v>
      </c>
      <c r="H822" s="2">
        <f t="shared" si="12"/>
        <v>2.3693442988852453E-2</v>
      </c>
    </row>
    <row r="823" spans="1:8" x14ac:dyDescent="0.35">
      <c r="A823" s="1">
        <v>44656</v>
      </c>
      <c r="B823">
        <v>177.5</v>
      </c>
      <c r="C823">
        <v>178.300003</v>
      </c>
      <c r="D823">
        <v>174.41999799999999</v>
      </c>
      <c r="E823">
        <v>175.05999800000001</v>
      </c>
      <c r="F823">
        <v>174.271591</v>
      </c>
      <c r="G823">
        <v>73401800</v>
      </c>
      <c r="H823" s="2">
        <f t="shared" si="12"/>
        <v>-1.8941963472966061E-2</v>
      </c>
    </row>
    <row r="824" spans="1:8" x14ac:dyDescent="0.35">
      <c r="A824" s="1">
        <v>44657</v>
      </c>
      <c r="B824">
        <v>172.36000100000001</v>
      </c>
      <c r="C824">
        <v>173.63000500000001</v>
      </c>
      <c r="D824">
        <v>170.13000500000001</v>
      </c>
      <c r="E824">
        <v>171.83000200000001</v>
      </c>
      <c r="F824">
        <v>171.056152</v>
      </c>
      <c r="G824">
        <v>89058800</v>
      </c>
      <c r="H824" s="2">
        <f t="shared" si="12"/>
        <v>-1.8450794224275091E-2</v>
      </c>
    </row>
    <row r="825" spans="1:8" x14ac:dyDescent="0.35">
      <c r="A825" s="1">
        <v>44658</v>
      </c>
      <c r="B825">
        <v>171.16000399999999</v>
      </c>
      <c r="C825">
        <v>173.36000100000001</v>
      </c>
      <c r="D825">
        <v>169.85000600000001</v>
      </c>
      <c r="E825">
        <v>172.13999899999999</v>
      </c>
      <c r="F825">
        <v>171.364746</v>
      </c>
      <c r="G825">
        <v>77594700</v>
      </c>
      <c r="H825" s="2">
        <f t="shared" si="12"/>
        <v>1.8040912319838842E-3</v>
      </c>
    </row>
    <row r="826" spans="1:8" x14ac:dyDescent="0.35">
      <c r="A826" s="1">
        <v>44659</v>
      </c>
      <c r="B826">
        <v>171.779999</v>
      </c>
      <c r="C826">
        <v>171.779999</v>
      </c>
      <c r="D826">
        <v>169.199997</v>
      </c>
      <c r="E826">
        <v>170.08999600000001</v>
      </c>
      <c r="F826">
        <v>169.32397499999999</v>
      </c>
      <c r="G826">
        <v>76575500</v>
      </c>
      <c r="H826" s="2">
        <f t="shared" si="12"/>
        <v>-1.1908928848082367E-2</v>
      </c>
    </row>
    <row r="827" spans="1:8" x14ac:dyDescent="0.35">
      <c r="A827" s="1">
        <v>44662</v>
      </c>
      <c r="B827">
        <v>168.71000699999999</v>
      </c>
      <c r="C827">
        <v>169.029999</v>
      </c>
      <c r="D827">
        <v>165.5</v>
      </c>
      <c r="E827">
        <v>165.75</v>
      </c>
      <c r="F827">
        <v>165.003525</v>
      </c>
      <c r="G827">
        <v>72246700</v>
      </c>
      <c r="H827" s="2">
        <f t="shared" si="12"/>
        <v>-2.5515880428382265E-2</v>
      </c>
    </row>
    <row r="828" spans="1:8" x14ac:dyDescent="0.35">
      <c r="A828" s="1">
        <v>44663</v>
      </c>
      <c r="B828">
        <v>168.020004</v>
      </c>
      <c r="C828">
        <v>169.86999499999999</v>
      </c>
      <c r="D828">
        <v>166.63999899999999</v>
      </c>
      <c r="E828">
        <v>167.66000399999999</v>
      </c>
      <c r="F828">
        <v>166.90493799999999</v>
      </c>
      <c r="G828">
        <v>79265200</v>
      </c>
      <c r="H828" s="2">
        <f t="shared" si="12"/>
        <v>1.1523402714932018E-2</v>
      </c>
    </row>
    <row r="829" spans="1:8" x14ac:dyDescent="0.35">
      <c r="A829" s="1">
        <v>44664</v>
      </c>
      <c r="B829">
        <v>167.38999899999999</v>
      </c>
      <c r="C829">
        <v>171.03999300000001</v>
      </c>
      <c r="D829">
        <v>166.770004</v>
      </c>
      <c r="E829">
        <v>170.39999399999999</v>
      </c>
      <c r="F829">
        <v>169.63256799999999</v>
      </c>
      <c r="G829">
        <v>70618900</v>
      </c>
      <c r="H829" s="2">
        <f t="shared" si="12"/>
        <v>1.6342538080817537E-2</v>
      </c>
    </row>
    <row r="830" spans="1:8" x14ac:dyDescent="0.35">
      <c r="A830" s="1">
        <v>44665</v>
      </c>
      <c r="B830">
        <v>170.61999499999999</v>
      </c>
      <c r="C830">
        <v>171.270004</v>
      </c>
      <c r="D830">
        <v>165.03999300000001</v>
      </c>
      <c r="E830">
        <v>165.28999300000001</v>
      </c>
      <c r="F830">
        <v>164.545593</v>
      </c>
      <c r="G830">
        <v>75329400</v>
      </c>
      <c r="H830" s="2">
        <f t="shared" si="12"/>
        <v>-2.9988269835267589E-2</v>
      </c>
    </row>
    <row r="831" spans="1:8" x14ac:dyDescent="0.35">
      <c r="A831" s="1">
        <v>44669</v>
      </c>
      <c r="B831">
        <v>163.91999799999999</v>
      </c>
      <c r="C831">
        <v>166.60000600000001</v>
      </c>
      <c r="D831">
        <v>163.570007</v>
      </c>
      <c r="E831">
        <v>165.070007</v>
      </c>
      <c r="F831">
        <v>164.32659899999999</v>
      </c>
      <c r="G831">
        <v>69023900</v>
      </c>
      <c r="H831" s="2">
        <f t="shared" si="12"/>
        <v>-1.3309093672718708E-3</v>
      </c>
    </row>
    <row r="832" spans="1:8" x14ac:dyDescent="0.35">
      <c r="A832" s="1">
        <v>44670</v>
      </c>
      <c r="B832">
        <v>165.020004</v>
      </c>
      <c r="C832">
        <v>167.820007</v>
      </c>
      <c r="D832">
        <v>163.91000399999999</v>
      </c>
      <c r="E832">
        <v>167.39999399999999</v>
      </c>
      <c r="F832">
        <v>166.64610300000001</v>
      </c>
      <c r="G832">
        <v>67723800</v>
      </c>
      <c r="H832" s="2">
        <f t="shared" si="12"/>
        <v>1.4115144491391396E-2</v>
      </c>
    </row>
    <row r="833" spans="1:8" x14ac:dyDescent="0.35">
      <c r="A833" s="1">
        <v>44671</v>
      </c>
      <c r="B833">
        <v>168.759995</v>
      </c>
      <c r="C833">
        <v>168.88000500000001</v>
      </c>
      <c r="D833">
        <v>166.10000600000001</v>
      </c>
      <c r="E833">
        <v>167.229996</v>
      </c>
      <c r="F833">
        <v>166.47685200000001</v>
      </c>
      <c r="G833">
        <v>67929800</v>
      </c>
      <c r="H833" s="2">
        <f t="shared" si="12"/>
        <v>-1.0155197496601875E-3</v>
      </c>
    </row>
    <row r="834" spans="1:8" x14ac:dyDescent="0.35">
      <c r="A834" s="1">
        <v>44672</v>
      </c>
      <c r="B834">
        <v>168.91000399999999</v>
      </c>
      <c r="C834">
        <v>171.529999</v>
      </c>
      <c r="D834">
        <v>165.91000399999999</v>
      </c>
      <c r="E834">
        <v>166.41999799999999</v>
      </c>
      <c r="F834">
        <v>165.67051699999999</v>
      </c>
      <c r="G834">
        <v>87227800</v>
      </c>
      <c r="H834" s="2">
        <f t="shared" si="12"/>
        <v>-4.8436166918284229E-3</v>
      </c>
    </row>
    <row r="835" spans="1:8" x14ac:dyDescent="0.35">
      <c r="A835" s="1">
        <v>44673</v>
      </c>
      <c r="B835">
        <v>166.46000699999999</v>
      </c>
      <c r="C835">
        <v>167.86999499999999</v>
      </c>
      <c r="D835">
        <v>161.5</v>
      </c>
      <c r="E835">
        <v>161.78999300000001</v>
      </c>
      <c r="F835">
        <v>161.06135599999999</v>
      </c>
      <c r="G835">
        <v>84882400</v>
      </c>
      <c r="H835" s="2">
        <f t="shared" si="12"/>
        <v>-2.7821205718317477E-2</v>
      </c>
    </row>
    <row r="836" spans="1:8" x14ac:dyDescent="0.35">
      <c r="A836" s="1">
        <v>44676</v>
      </c>
      <c r="B836">
        <v>161.11999499999999</v>
      </c>
      <c r="C836">
        <v>163.16999799999999</v>
      </c>
      <c r="D836">
        <v>158.46000699999999</v>
      </c>
      <c r="E836">
        <v>162.88000500000001</v>
      </c>
      <c r="F836">
        <v>162.14645400000001</v>
      </c>
      <c r="G836">
        <v>96046400</v>
      </c>
      <c r="H836" s="2">
        <f t="shared" ref="H836:H899" si="13">E836/E835-1</f>
        <v>6.7372028380023874E-3</v>
      </c>
    </row>
    <row r="837" spans="1:8" x14ac:dyDescent="0.35">
      <c r="A837" s="1">
        <v>44677</v>
      </c>
      <c r="B837">
        <v>162.25</v>
      </c>
      <c r="C837">
        <v>162.33999600000001</v>
      </c>
      <c r="D837">
        <v>156.720001</v>
      </c>
      <c r="E837">
        <v>156.800003</v>
      </c>
      <c r="F837">
        <v>156.093842</v>
      </c>
      <c r="G837">
        <v>95623200</v>
      </c>
      <c r="H837" s="2">
        <f t="shared" si="13"/>
        <v>-3.7328105435655012E-2</v>
      </c>
    </row>
    <row r="838" spans="1:8" x14ac:dyDescent="0.35">
      <c r="A838" s="1">
        <v>44678</v>
      </c>
      <c r="B838">
        <v>155.91000399999999</v>
      </c>
      <c r="C838">
        <v>159.78999300000001</v>
      </c>
      <c r="D838">
        <v>155.38000500000001</v>
      </c>
      <c r="E838">
        <v>156.570007</v>
      </c>
      <c r="F838">
        <v>155.86488299999999</v>
      </c>
      <c r="G838">
        <v>88063200</v>
      </c>
      <c r="H838" s="2">
        <f t="shared" si="13"/>
        <v>-1.4668111964257768E-3</v>
      </c>
    </row>
    <row r="839" spans="1:8" x14ac:dyDescent="0.35">
      <c r="A839" s="1">
        <v>44679</v>
      </c>
      <c r="B839">
        <v>159.25</v>
      </c>
      <c r="C839">
        <v>164.520004</v>
      </c>
      <c r="D839">
        <v>158.929993</v>
      </c>
      <c r="E839">
        <v>163.63999899999999</v>
      </c>
      <c r="F839">
        <v>162.90303</v>
      </c>
      <c r="G839">
        <v>130216800</v>
      </c>
      <c r="H839" s="2">
        <f t="shared" si="13"/>
        <v>4.515546837779727E-2</v>
      </c>
    </row>
    <row r="840" spans="1:8" x14ac:dyDescent="0.35">
      <c r="A840" s="1">
        <v>44680</v>
      </c>
      <c r="B840">
        <v>161.83999600000001</v>
      </c>
      <c r="C840">
        <v>166.199997</v>
      </c>
      <c r="D840">
        <v>157.25</v>
      </c>
      <c r="E840">
        <v>157.64999399999999</v>
      </c>
      <c r="F840">
        <v>156.94000199999999</v>
      </c>
      <c r="G840">
        <v>131747600</v>
      </c>
      <c r="H840" s="2">
        <f t="shared" si="13"/>
        <v>-3.6604772895409199E-2</v>
      </c>
    </row>
    <row r="841" spans="1:8" x14ac:dyDescent="0.35">
      <c r="A841" s="1">
        <v>44683</v>
      </c>
      <c r="B841">
        <v>156.71000699999999</v>
      </c>
      <c r="C841">
        <v>158.229996</v>
      </c>
      <c r="D841">
        <v>153.270004</v>
      </c>
      <c r="E841">
        <v>157.96000699999999</v>
      </c>
      <c r="F841">
        <v>157.248627</v>
      </c>
      <c r="G841">
        <v>123055300</v>
      </c>
      <c r="H841" s="2">
        <f t="shared" si="13"/>
        <v>1.9664637602205826E-3</v>
      </c>
    </row>
    <row r="842" spans="1:8" x14ac:dyDescent="0.35">
      <c r="A842" s="1">
        <v>44684</v>
      </c>
      <c r="B842">
        <v>158.14999399999999</v>
      </c>
      <c r="C842">
        <v>160.71000699999999</v>
      </c>
      <c r="D842">
        <v>156.320007</v>
      </c>
      <c r="E842">
        <v>159.479996</v>
      </c>
      <c r="F842">
        <v>158.761765</v>
      </c>
      <c r="G842">
        <v>88966500</v>
      </c>
      <c r="H842" s="2">
        <f t="shared" si="13"/>
        <v>9.6226192241180009E-3</v>
      </c>
    </row>
    <row r="843" spans="1:8" x14ac:dyDescent="0.35">
      <c r="A843" s="1">
        <v>44685</v>
      </c>
      <c r="B843">
        <v>159.66999799999999</v>
      </c>
      <c r="C843">
        <v>166.479996</v>
      </c>
      <c r="D843">
        <v>159.259995</v>
      </c>
      <c r="E843">
        <v>166.020004</v>
      </c>
      <c r="F843">
        <v>165.27230800000001</v>
      </c>
      <c r="G843">
        <v>108256500</v>
      </c>
      <c r="H843" s="2">
        <f t="shared" si="13"/>
        <v>4.1008328091505675E-2</v>
      </c>
    </row>
    <row r="844" spans="1:8" x14ac:dyDescent="0.35">
      <c r="A844" s="1">
        <v>44686</v>
      </c>
      <c r="B844">
        <v>163.85000600000001</v>
      </c>
      <c r="C844">
        <v>164.08000200000001</v>
      </c>
      <c r="D844">
        <v>154.949997</v>
      </c>
      <c r="E844">
        <v>156.770004</v>
      </c>
      <c r="F844">
        <v>156.06397999999999</v>
      </c>
      <c r="G844">
        <v>130525300</v>
      </c>
      <c r="H844" s="2">
        <f t="shared" si="13"/>
        <v>-5.5716177431245018E-2</v>
      </c>
    </row>
    <row r="845" spans="1:8" x14ac:dyDescent="0.35">
      <c r="A845" s="1">
        <v>44687</v>
      </c>
      <c r="B845">
        <v>156.009995</v>
      </c>
      <c r="C845">
        <v>159.44000199999999</v>
      </c>
      <c r="D845">
        <v>154.179993</v>
      </c>
      <c r="E845">
        <v>157.279999</v>
      </c>
      <c r="F845">
        <v>156.80171200000001</v>
      </c>
      <c r="G845">
        <v>116124600</v>
      </c>
      <c r="H845" s="2">
        <f t="shared" si="13"/>
        <v>3.2531414619343391E-3</v>
      </c>
    </row>
    <row r="846" spans="1:8" x14ac:dyDescent="0.35">
      <c r="A846" s="1">
        <v>44690</v>
      </c>
      <c r="B846">
        <v>154.929993</v>
      </c>
      <c r="C846">
        <v>155.83000200000001</v>
      </c>
      <c r="D846">
        <v>151.490005</v>
      </c>
      <c r="E846">
        <v>152.05999800000001</v>
      </c>
      <c r="F846">
        <v>151.59759500000001</v>
      </c>
      <c r="G846">
        <v>131577900</v>
      </c>
      <c r="H846" s="2">
        <f t="shared" si="13"/>
        <v>-3.3189223252728994E-2</v>
      </c>
    </row>
    <row r="847" spans="1:8" x14ac:dyDescent="0.35">
      <c r="A847" s="1">
        <v>44691</v>
      </c>
      <c r="B847">
        <v>155.520004</v>
      </c>
      <c r="C847">
        <v>156.740005</v>
      </c>
      <c r="D847">
        <v>152.929993</v>
      </c>
      <c r="E847">
        <v>154.509995</v>
      </c>
      <c r="F847">
        <v>154.040131</v>
      </c>
      <c r="G847">
        <v>115366700</v>
      </c>
      <c r="H847" s="2">
        <f t="shared" si="13"/>
        <v>1.6112041511403996E-2</v>
      </c>
    </row>
    <row r="848" spans="1:8" x14ac:dyDescent="0.35">
      <c r="A848" s="1">
        <v>44692</v>
      </c>
      <c r="B848">
        <v>153.5</v>
      </c>
      <c r="C848">
        <v>155.449997</v>
      </c>
      <c r="D848">
        <v>145.80999800000001</v>
      </c>
      <c r="E848">
        <v>146.5</v>
      </c>
      <c r="F848">
        <v>146.05450400000001</v>
      </c>
      <c r="G848">
        <v>142689800</v>
      </c>
      <c r="H848" s="2">
        <f t="shared" si="13"/>
        <v>-5.1841274087155331E-2</v>
      </c>
    </row>
    <row r="849" spans="1:8" x14ac:dyDescent="0.35">
      <c r="A849" s="1">
        <v>44693</v>
      </c>
      <c r="B849">
        <v>142.770004</v>
      </c>
      <c r="C849">
        <v>146.199997</v>
      </c>
      <c r="D849">
        <v>138.800003</v>
      </c>
      <c r="E849">
        <v>142.55999800000001</v>
      </c>
      <c r="F849">
        <v>142.12647999999999</v>
      </c>
      <c r="G849">
        <v>182602000</v>
      </c>
      <c r="H849" s="2">
        <f t="shared" si="13"/>
        <v>-2.6894211604095553E-2</v>
      </c>
    </row>
    <row r="850" spans="1:8" x14ac:dyDescent="0.35">
      <c r="A850" s="1">
        <v>44694</v>
      </c>
      <c r="B850">
        <v>144.58999600000001</v>
      </c>
      <c r="C850">
        <v>148.10000600000001</v>
      </c>
      <c r="D850">
        <v>143.11000100000001</v>
      </c>
      <c r="E850">
        <v>147.11000100000001</v>
      </c>
      <c r="F850">
        <v>146.66265899999999</v>
      </c>
      <c r="G850">
        <v>113990900</v>
      </c>
      <c r="H850" s="2">
        <f t="shared" si="13"/>
        <v>3.1916407574584804E-2</v>
      </c>
    </row>
    <row r="851" spans="1:8" x14ac:dyDescent="0.35">
      <c r="A851" s="1">
        <v>44697</v>
      </c>
      <c r="B851">
        <v>145.550003</v>
      </c>
      <c r="C851">
        <v>147.520004</v>
      </c>
      <c r="D851">
        <v>144.179993</v>
      </c>
      <c r="E851">
        <v>145.53999300000001</v>
      </c>
      <c r="F851">
        <v>145.09742700000001</v>
      </c>
      <c r="G851">
        <v>86643800</v>
      </c>
      <c r="H851" s="2">
        <f t="shared" si="13"/>
        <v>-1.0672340352985255E-2</v>
      </c>
    </row>
    <row r="852" spans="1:8" x14ac:dyDescent="0.35">
      <c r="A852" s="1">
        <v>44698</v>
      </c>
      <c r="B852">
        <v>148.86000100000001</v>
      </c>
      <c r="C852">
        <v>149.770004</v>
      </c>
      <c r="D852">
        <v>146.679993</v>
      </c>
      <c r="E852">
        <v>149.240005</v>
      </c>
      <c r="F852">
        <v>148.786179</v>
      </c>
      <c r="G852">
        <v>78336300</v>
      </c>
      <c r="H852" s="2">
        <f t="shared" si="13"/>
        <v>2.5422647917813013E-2</v>
      </c>
    </row>
    <row r="853" spans="1:8" x14ac:dyDescent="0.35">
      <c r="A853" s="1">
        <v>44699</v>
      </c>
      <c r="B853">
        <v>146.85000600000001</v>
      </c>
      <c r="C853">
        <v>147.36000100000001</v>
      </c>
      <c r="D853">
        <v>139.89999399999999</v>
      </c>
      <c r="E853">
        <v>140.820007</v>
      </c>
      <c r="F853">
        <v>140.391785</v>
      </c>
      <c r="G853">
        <v>109742900</v>
      </c>
      <c r="H853" s="2">
        <f t="shared" si="13"/>
        <v>-5.64191752740828E-2</v>
      </c>
    </row>
    <row r="854" spans="1:8" x14ac:dyDescent="0.35">
      <c r="A854" s="1">
        <v>44700</v>
      </c>
      <c r="B854">
        <v>139.88000500000001</v>
      </c>
      <c r="C854">
        <v>141.66000399999999</v>
      </c>
      <c r="D854">
        <v>136.60000600000001</v>
      </c>
      <c r="E854">
        <v>137.35000600000001</v>
      </c>
      <c r="F854">
        <v>136.93232699999999</v>
      </c>
      <c r="G854">
        <v>136095600</v>
      </c>
      <c r="H854" s="2">
        <f t="shared" si="13"/>
        <v>-2.4641392043106447E-2</v>
      </c>
    </row>
    <row r="855" spans="1:8" x14ac:dyDescent="0.35">
      <c r="A855" s="1">
        <v>44701</v>
      </c>
      <c r="B855">
        <v>139.08999600000001</v>
      </c>
      <c r="C855">
        <v>140.699997</v>
      </c>
      <c r="D855">
        <v>132.61000100000001</v>
      </c>
      <c r="E855">
        <v>137.58999600000001</v>
      </c>
      <c r="F855">
        <v>137.17158499999999</v>
      </c>
      <c r="G855">
        <v>137426100</v>
      </c>
      <c r="H855" s="2">
        <f t="shared" si="13"/>
        <v>1.747287874162895E-3</v>
      </c>
    </row>
    <row r="856" spans="1:8" x14ac:dyDescent="0.35">
      <c r="A856" s="1">
        <v>44704</v>
      </c>
      <c r="B856">
        <v>137.78999300000001</v>
      </c>
      <c r="C856">
        <v>143.259995</v>
      </c>
      <c r="D856">
        <v>137.64999399999999</v>
      </c>
      <c r="E856">
        <v>143.11000100000001</v>
      </c>
      <c r="F856">
        <v>142.67480499999999</v>
      </c>
      <c r="G856">
        <v>117726300</v>
      </c>
      <c r="H856" s="2">
        <f t="shared" si="13"/>
        <v>4.0119232215109601E-2</v>
      </c>
    </row>
    <row r="857" spans="1:8" x14ac:dyDescent="0.35">
      <c r="A857" s="1">
        <v>44705</v>
      </c>
      <c r="B857">
        <v>140.80999800000001</v>
      </c>
      <c r="C857">
        <v>141.970001</v>
      </c>
      <c r="D857">
        <v>137.33000200000001</v>
      </c>
      <c r="E857">
        <v>140.36000100000001</v>
      </c>
      <c r="F857">
        <v>139.933167</v>
      </c>
      <c r="G857">
        <v>104132700</v>
      </c>
      <c r="H857" s="2">
        <f t="shared" si="13"/>
        <v>-1.9215987567493653E-2</v>
      </c>
    </row>
    <row r="858" spans="1:8" x14ac:dyDescent="0.35">
      <c r="A858" s="1">
        <v>44706</v>
      </c>
      <c r="B858">
        <v>138.429993</v>
      </c>
      <c r="C858">
        <v>141.78999300000001</v>
      </c>
      <c r="D858">
        <v>138.33999600000001</v>
      </c>
      <c r="E858">
        <v>140.520004</v>
      </c>
      <c r="F858">
        <v>140.09269699999999</v>
      </c>
      <c r="G858">
        <v>92482700</v>
      </c>
      <c r="H858" s="2">
        <f t="shared" si="13"/>
        <v>1.1399472703053082E-3</v>
      </c>
    </row>
    <row r="859" spans="1:8" x14ac:dyDescent="0.35">
      <c r="A859" s="1">
        <v>44707</v>
      </c>
      <c r="B859">
        <v>137.38999899999999</v>
      </c>
      <c r="C859">
        <v>144.33999600000001</v>
      </c>
      <c r="D859">
        <v>137.13999899999999</v>
      </c>
      <c r="E859">
        <v>143.779999</v>
      </c>
      <c r="F859">
        <v>143.342758</v>
      </c>
      <c r="G859">
        <v>90601500</v>
      </c>
      <c r="H859" s="2">
        <f t="shared" si="13"/>
        <v>2.3199508306305017E-2</v>
      </c>
    </row>
    <row r="860" spans="1:8" x14ac:dyDescent="0.35">
      <c r="A860" s="1">
        <v>44708</v>
      </c>
      <c r="B860">
        <v>145.38999899999999</v>
      </c>
      <c r="C860">
        <v>149.679993</v>
      </c>
      <c r="D860">
        <v>145.259995</v>
      </c>
      <c r="E860">
        <v>149.63999899999999</v>
      </c>
      <c r="F860">
        <v>149.18495200000001</v>
      </c>
      <c r="G860">
        <v>90978500</v>
      </c>
      <c r="H860" s="2">
        <f t="shared" si="13"/>
        <v>4.0756711926253297E-2</v>
      </c>
    </row>
    <row r="861" spans="1:8" x14ac:dyDescent="0.35">
      <c r="A861" s="1">
        <v>44712</v>
      </c>
      <c r="B861">
        <v>149.070007</v>
      </c>
      <c r="C861">
        <v>150.66000399999999</v>
      </c>
      <c r="D861">
        <v>146.83999600000001</v>
      </c>
      <c r="E861">
        <v>148.83999600000001</v>
      </c>
      <c r="F861">
        <v>148.38739000000001</v>
      </c>
      <c r="G861">
        <v>103718400</v>
      </c>
      <c r="H861" s="2">
        <f t="shared" si="13"/>
        <v>-5.3461842110810176E-3</v>
      </c>
    </row>
    <row r="862" spans="1:8" x14ac:dyDescent="0.35">
      <c r="A862" s="1">
        <v>44713</v>
      </c>
      <c r="B862">
        <v>149.89999399999999</v>
      </c>
      <c r="C862">
        <v>151.740005</v>
      </c>
      <c r="D862">
        <v>147.679993</v>
      </c>
      <c r="E862">
        <v>148.71000699999999</v>
      </c>
      <c r="F862">
        <v>148.25778199999999</v>
      </c>
      <c r="G862">
        <v>74286600</v>
      </c>
      <c r="H862" s="2">
        <f t="shared" si="13"/>
        <v>-8.7334724196053148E-4</v>
      </c>
    </row>
    <row r="863" spans="1:8" x14ac:dyDescent="0.35">
      <c r="A863" s="1">
        <v>44714</v>
      </c>
      <c r="B863">
        <v>147.83000200000001</v>
      </c>
      <c r="C863">
        <v>151.270004</v>
      </c>
      <c r="D863">
        <v>146.86000100000001</v>
      </c>
      <c r="E863">
        <v>151.21000699999999</v>
      </c>
      <c r="F863">
        <v>150.75018299999999</v>
      </c>
      <c r="G863">
        <v>72348100</v>
      </c>
      <c r="H863" s="2">
        <f t="shared" si="13"/>
        <v>1.6811242568228746E-2</v>
      </c>
    </row>
    <row r="864" spans="1:8" x14ac:dyDescent="0.35">
      <c r="A864" s="1">
        <v>44715</v>
      </c>
      <c r="B864">
        <v>146.89999399999999</v>
      </c>
      <c r="C864">
        <v>147.970001</v>
      </c>
      <c r="D864">
        <v>144.46000699999999</v>
      </c>
      <c r="E864">
        <v>145.38000500000001</v>
      </c>
      <c r="F864">
        <v>144.93791200000001</v>
      </c>
      <c r="G864">
        <v>88570300</v>
      </c>
      <c r="H864" s="2">
        <f t="shared" si="13"/>
        <v>-3.855566252304965E-2</v>
      </c>
    </row>
    <row r="865" spans="1:8" x14ac:dyDescent="0.35">
      <c r="A865" s="1">
        <v>44718</v>
      </c>
      <c r="B865">
        <v>147.029999</v>
      </c>
      <c r="C865">
        <v>148.570007</v>
      </c>
      <c r="D865">
        <v>144.89999399999999</v>
      </c>
      <c r="E865">
        <v>146.13999899999999</v>
      </c>
      <c r="F865">
        <v>145.69560200000001</v>
      </c>
      <c r="G865">
        <v>71598400</v>
      </c>
      <c r="H865" s="2">
        <f t="shared" si="13"/>
        <v>5.2276377346387459E-3</v>
      </c>
    </row>
    <row r="866" spans="1:8" x14ac:dyDescent="0.35">
      <c r="A866" s="1">
        <v>44719</v>
      </c>
      <c r="B866">
        <v>144.35000600000001</v>
      </c>
      <c r="C866">
        <v>149</v>
      </c>
      <c r="D866">
        <v>144.10000600000001</v>
      </c>
      <c r="E866">
        <v>148.71000699999999</v>
      </c>
      <c r="F866">
        <v>148.25778199999999</v>
      </c>
      <c r="G866">
        <v>67808200</v>
      </c>
      <c r="H866" s="2">
        <f t="shared" si="13"/>
        <v>1.7585931419090928E-2</v>
      </c>
    </row>
    <row r="867" spans="1:8" x14ac:dyDescent="0.35">
      <c r="A867" s="1">
        <v>44720</v>
      </c>
      <c r="B867">
        <v>148.58000200000001</v>
      </c>
      <c r="C867">
        <v>149.86999499999999</v>
      </c>
      <c r="D867">
        <v>147.46000699999999</v>
      </c>
      <c r="E867">
        <v>147.96000699999999</v>
      </c>
      <c r="F867">
        <v>147.51007100000001</v>
      </c>
      <c r="G867">
        <v>53950200</v>
      </c>
      <c r="H867" s="2">
        <f t="shared" si="13"/>
        <v>-5.0433727704686238E-3</v>
      </c>
    </row>
    <row r="868" spans="1:8" x14ac:dyDescent="0.35">
      <c r="A868" s="1">
        <v>44721</v>
      </c>
      <c r="B868">
        <v>147.08000200000001</v>
      </c>
      <c r="C868">
        <v>147.949997</v>
      </c>
      <c r="D868">
        <v>142.529999</v>
      </c>
      <c r="E868">
        <v>142.63999899999999</v>
      </c>
      <c r="F868">
        <v>142.20623800000001</v>
      </c>
      <c r="G868">
        <v>69473000</v>
      </c>
      <c r="H868" s="2">
        <f t="shared" si="13"/>
        <v>-3.5955716060489196E-2</v>
      </c>
    </row>
    <row r="869" spans="1:8" x14ac:dyDescent="0.35">
      <c r="A869" s="1">
        <v>44722</v>
      </c>
      <c r="B869">
        <v>140.279999</v>
      </c>
      <c r="C869">
        <v>140.759995</v>
      </c>
      <c r="D869">
        <v>137.05999800000001</v>
      </c>
      <c r="E869">
        <v>137.13000500000001</v>
      </c>
      <c r="F869">
        <v>136.712997</v>
      </c>
      <c r="G869">
        <v>91437900</v>
      </c>
      <c r="H869" s="2">
        <f t="shared" si="13"/>
        <v>-3.8628673854659623E-2</v>
      </c>
    </row>
    <row r="870" spans="1:8" x14ac:dyDescent="0.35">
      <c r="A870" s="1">
        <v>44725</v>
      </c>
      <c r="B870">
        <v>132.86999499999999</v>
      </c>
      <c r="C870">
        <v>135.199997</v>
      </c>
      <c r="D870">
        <v>131.44000199999999</v>
      </c>
      <c r="E870">
        <v>131.88000500000001</v>
      </c>
      <c r="F870">
        <v>131.47895800000001</v>
      </c>
      <c r="G870">
        <v>122207100</v>
      </c>
      <c r="H870" s="2">
        <f t="shared" si="13"/>
        <v>-3.8284837807743055E-2</v>
      </c>
    </row>
    <row r="871" spans="1:8" x14ac:dyDescent="0.35">
      <c r="A871" s="1">
        <v>44726</v>
      </c>
      <c r="B871">
        <v>133.13000500000001</v>
      </c>
      <c r="C871">
        <v>133.88999899999999</v>
      </c>
      <c r="D871">
        <v>131.479996</v>
      </c>
      <c r="E871">
        <v>132.759995</v>
      </c>
      <c r="F871">
        <v>132.35627700000001</v>
      </c>
      <c r="G871">
        <v>84784300</v>
      </c>
      <c r="H871" s="2">
        <f t="shared" si="13"/>
        <v>6.6726567078914112E-3</v>
      </c>
    </row>
    <row r="872" spans="1:8" x14ac:dyDescent="0.35">
      <c r="A872" s="1">
        <v>44727</v>
      </c>
      <c r="B872">
        <v>134.28999300000001</v>
      </c>
      <c r="C872">
        <v>137.33999600000001</v>
      </c>
      <c r="D872">
        <v>132.16000399999999</v>
      </c>
      <c r="E872">
        <v>135.429993</v>
      </c>
      <c r="F872">
        <v>135.018158</v>
      </c>
      <c r="G872">
        <v>91533000</v>
      </c>
      <c r="H872" s="2">
        <f t="shared" si="13"/>
        <v>2.0111465053911592E-2</v>
      </c>
    </row>
    <row r="873" spans="1:8" x14ac:dyDescent="0.35">
      <c r="A873" s="1">
        <v>44728</v>
      </c>
      <c r="B873">
        <v>132.08000200000001</v>
      </c>
      <c r="C873">
        <v>132.38999899999999</v>
      </c>
      <c r="D873">
        <v>129.03999300000001</v>
      </c>
      <c r="E873">
        <v>130.05999800000001</v>
      </c>
      <c r="F873">
        <v>129.66449</v>
      </c>
      <c r="G873">
        <v>108123900</v>
      </c>
      <c r="H873" s="2">
        <f t="shared" si="13"/>
        <v>-3.9651445599646395E-2</v>
      </c>
    </row>
    <row r="874" spans="1:8" x14ac:dyDescent="0.35">
      <c r="A874" s="1">
        <v>44729</v>
      </c>
      <c r="B874">
        <v>130.070007</v>
      </c>
      <c r="C874">
        <v>133.08000200000001</v>
      </c>
      <c r="D874">
        <v>129.80999800000001</v>
      </c>
      <c r="E874">
        <v>131.55999800000001</v>
      </c>
      <c r="F874">
        <v>131.15992700000001</v>
      </c>
      <c r="G874">
        <v>134520300</v>
      </c>
      <c r="H874" s="2">
        <f t="shared" si="13"/>
        <v>1.1533138728788916E-2</v>
      </c>
    </row>
    <row r="875" spans="1:8" x14ac:dyDescent="0.35">
      <c r="A875" s="1">
        <v>44733</v>
      </c>
      <c r="B875">
        <v>133.41999799999999</v>
      </c>
      <c r="C875">
        <v>137.05999800000001</v>
      </c>
      <c r="D875">
        <v>133.320007</v>
      </c>
      <c r="E875">
        <v>135.86999499999999</v>
      </c>
      <c r="F875">
        <v>135.45683299999999</v>
      </c>
      <c r="G875">
        <v>81000500</v>
      </c>
      <c r="H875" s="2">
        <f t="shared" si="13"/>
        <v>3.2760695238076787E-2</v>
      </c>
    </row>
    <row r="876" spans="1:8" x14ac:dyDescent="0.35">
      <c r="A876" s="1">
        <v>44734</v>
      </c>
      <c r="B876">
        <v>134.78999300000001</v>
      </c>
      <c r="C876">
        <v>137.759995</v>
      </c>
      <c r="D876">
        <v>133.91000399999999</v>
      </c>
      <c r="E876">
        <v>135.35000600000001</v>
      </c>
      <c r="F876">
        <v>134.93841599999999</v>
      </c>
      <c r="G876">
        <v>73409200</v>
      </c>
      <c r="H876" s="2">
        <f t="shared" si="13"/>
        <v>-3.8271069340951591E-3</v>
      </c>
    </row>
    <row r="877" spans="1:8" x14ac:dyDescent="0.35">
      <c r="A877" s="1">
        <v>44735</v>
      </c>
      <c r="B877">
        <v>136.820007</v>
      </c>
      <c r="C877">
        <v>138.58999600000001</v>
      </c>
      <c r="D877">
        <v>135.63000500000001</v>
      </c>
      <c r="E877">
        <v>138.270004</v>
      </c>
      <c r="F877">
        <v>137.84953300000001</v>
      </c>
      <c r="G877">
        <v>72433800</v>
      </c>
      <c r="H877" s="2">
        <f t="shared" si="13"/>
        <v>2.1573682087609125E-2</v>
      </c>
    </row>
    <row r="878" spans="1:8" x14ac:dyDescent="0.35">
      <c r="A878" s="1">
        <v>44736</v>
      </c>
      <c r="B878">
        <v>139.89999399999999</v>
      </c>
      <c r="C878">
        <v>141.91000399999999</v>
      </c>
      <c r="D878">
        <v>139.770004</v>
      </c>
      <c r="E878">
        <v>141.66000399999999</v>
      </c>
      <c r="F878">
        <v>141.229218</v>
      </c>
      <c r="G878">
        <v>89116800</v>
      </c>
      <c r="H878" s="2">
        <f t="shared" si="13"/>
        <v>2.4517248151666893E-2</v>
      </c>
    </row>
    <row r="879" spans="1:8" x14ac:dyDescent="0.35">
      <c r="A879" s="1">
        <v>44739</v>
      </c>
      <c r="B879">
        <v>142.699997</v>
      </c>
      <c r="C879">
        <v>143.490005</v>
      </c>
      <c r="D879">
        <v>140.970001</v>
      </c>
      <c r="E879">
        <v>141.66000399999999</v>
      </c>
      <c r="F879">
        <v>141.229218</v>
      </c>
      <c r="G879">
        <v>70207900</v>
      </c>
      <c r="H879" s="2">
        <f t="shared" si="13"/>
        <v>0</v>
      </c>
    </row>
    <row r="880" spans="1:8" x14ac:dyDescent="0.35">
      <c r="A880" s="1">
        <v>44740</v>
      </c>
      <c r="B880">
        <v>142.13000500000001</v>
      </c>
      <c r="C880">
        <v>143.41999799999999</v>
      </c>
      <c r="D880">
        <v>137.320007</v>
      </c>
      <c r="E880">
        <v>137.44000199999999</v>
      </c>
      <c r="F880">
        <v>137.022064</v>
      </c>
      <c r="G880">
        <v>67083400</v>
      </c>
      <c r="H880" s="2">
        <f t="shared" si="13"/>
        <v>-2.9789650436548021E-2</v>
      </c>
    </row>
    <row r="881" spans="1:8" x14ac:dyDescent="0.35">
      <c r="A881" s="1">
        <v>44741</v>
      </c>
      <c r="B881">
        <v>137.46000699999999</v>
      </c>
      <c r="C881">
        <v>140.66999799999999</v>
      </c>
      <c r="D881">
        <v>136.66999799999999</v>
      </c>
      <c r="E881">
        <v>139.229996</v>
      </c>
      <c r="F881">
        <v>138.80661000000001</v>
      </c>
      <c r="G881">
        <v>66242400</v>
      </c>
      <c r="H881" s="2">
        <f t="shared" si="13"/>
        <v>1.3023821114321654E-2</v>
      </c>
    </row>
    <row r="882" spans="1:8" x14ac:dyDescent="0.35">
      <c r="A882" s="1">
        <v>44742</v>
      </c>
      <c r="B882">
        <v>137.25</v>
      </c>
      <c r="C882">
        <v>138.36999499999999</v>
      </c>
      <c r="D882">
        <v>133.770004</v>
      </c>
      <c r="E882">
        <v>136.720001</v>
      </c>
      <c r="F882">
        <v>136.30424500000001</v>
      </c>
      <c r="G882">
        <v>98964500</v>
      </c>
      <c r="H882" s="2">
        <f t="shared" si="13"/>
        <v>-1.8027688516201623E-2</v>
      </c>
    </row>
    <row r="883" spans="1:8" x14ac:dyDescent="0.35">
      <c r="A883" s="1">
        <v>44743</v>
      </c>
      <c r="B883">
        <v>136.03999300000001</v>
      </c>
      <c r="C883">
        <v>139.03999300000001</v>
      </c>
      <c r="D883">
        <v>135.66000399999999</v>
      </c>
      <c r="E883">
        <v>138.929993</v>
      </c>
      <c r="F883">
        <v>138.507507</v>
      </c>
      <c r="G883">
        <v>71051600</v>
      </c>
      <c r="H883" s="2">
        <f t="shared" si="13"/>
        <v>1.6164365007574899E-2</v>
      </c>
    </row>
    <row r="884" spans="1:8" x14ac:dyDescent="0.35">
      <c r="A884" s="1">
        <v>44747</v>
      </c>
      <c r="B884">
        <v>137.770004</v>
      </c>
      <c r="C884">
        <v>141.61000100000001</v>
      </c>
      <c r="D884">
        <v>136.929993</v>
      </c>
      <c r="E884">
        <v>141.55999800000001</v>
      </c>
      <c r="F884">
        <v>141.12951699999999</v>
      </c>
      <c r="G884">
        <v>73353800</v>
      </c>
      <c r="H884" s="2">
        <f t="shared" si="13"/>
        <v>1.8930433545764291E-2</v>
      </c>
    </row>
    <row r="885" spans="1:8" x14ac:dyDescent="0.35">
      <c r="A885" s="1">
        <v>44748</v>
      </c>
      <c r="B885">
        <v>141.35000600000001</v>
      </c>
      <c r="C885">
        <v>144.11999499999999</v>
      </c>
      <c r="D885">
        <v>141.08000200000001</v>
      </c>
      <c r="E885">
        <v>142.91999799999999</v>
      </c>
      <c r="F885">
        <v>142.48539700000001</v>
      </c>
      <c r="G885">
        <v>74064300</v>
      </c>
      <c r="H885" s="2">
        <f t="shared" si="13"/>
        <v>9.6072338175645644E-3</v>
      </c>
    </row>
    <row r="886" spans="1:8" x14ac:dyDescent="0.35">
      <c r="A886" s="1">
        <v>44749</v>
      </c>
      <c r="B886">
        <v>143.28999300000001</v>
      </c>
      <c r="C886">
        <v>146.550003</v>
      </c>
      <c r="D886">
        <v>143.279999</v>
      </c>
      <c r="E886">
        <v>146.35000600000001</v>
      </c>
      <c r="F886">
        <v>145.904968</v>
      </c>
      <c r="G886">
        <v>66253700</v>
      </c>
      <c r="H886" s="2">
        <f t="shared" si="13"/>
        <v>2.399949655750766E-2</v>
      </c>
    </row>
    <row r="887" spans="1:8" x14ac:dyDescent="0.35">
      <c r="A887" s="1">
        <v>44750</v>
      </c>
      <c r="B887">
        <v>145.259995</v>
      </c>
      <c r="C887">
        <v>147.550003</v>
      </c>
      <c r="D887">
        <v>145</v>
      </c>
      <c r="E887">
        <v>147.03999300000001</v>
      </c>
      <c r="F887">
        <v>146.59285</v>
      </c>
      <c r="G887">
        <v>64547800</v>
      </c>
      <c r="H887" s="2">
        <f t="shared" si="13"/>
        <v>4.7146359529359749E-3</v>
      </c>
    </row>
    <row r="888" spans="1:8" x14ac:dyDescent="0.35">
      <c r="A888" s="1">
        <v>44753</v>
      </c>
      <c r="B888">
        <v>145.66999799999999</v>
      </c>
      <c r="C888">
        <v>146.63999899999999</v>
      </c>
      <c r="D888">
        <v>143.779999</v>
      </c>
      <c r="E888">
        <v>144.86999499999999</v>
      </c>
      <c r="F888">
        <v>144.42944299999999</v>
      </c>
      <c r="G888">
        <v>63141600</v>
      </c>
      <c r="H888" s="2">
        <f t="shared" si="13"/>
        <v>-1.4757876110617185E-2</v>
      </c>
    </row>
    <row r="889" spans="1:8" x14ac:dyDescent="0.35">
      <c r="A889" s="1">
        <v>44754</v>
      </c>
      <c r="B889">
        <v>145.759995</v>
      </c>
      <c r="C889">
        <v>148.449997</v>
      </c>
      <c r="D889">
        <v>145.050003</v>
      </c>
      <c r="E889">
        <v>145.86000100000001</v>
      </c>
      <c r="F889">
        <v>145.41644299999999</v>
      </c>
      <c r="G889">
        <v>77588800</v>
      </c>
      <c r="H889" s="2">
        <f t="shared" si="13"/>
        <v>6.8337546363552715E-3</v>
      </c>
    </row>
    <row r="890" spans="1:8" x14ac:dyDescent="0.35">
      <c r="A890" s="1">
        <v>44755</v>
      </c>
      <c r="B890">
        <v>142.990005</v>
      </c>
      <c r="C890">
        <v>146.449997</v>
      </c>
      <c r="D890">
        <v>142.11999499999999</v>
      </c>
      <c r="E890">
        <v>145.490005</v>
      </c>
      <c r="F890">
        <v>145.04757699999999</v>
      </c>
      <c r="G890">
        <v>71185600</v>
      </c>
      <c r="H890" s="2">
        <f t="shared" si="13"/>
        <v>-2.5366515663195477E-3</v>
      </c>
    </row>
    <row r="891" spans="1:8" x14ac:dyDescent="0.35">
      <c r="A891" s="1">
        <v>44756</v>
      </c>
      <c r="B891">
        <v>144.08000200000001</v>
      </c>
      <c r="C891">
        <v>148.949997</v>
      </c>
      <c r="D891">
        <v>143.25</v>
      </c>
      <c r="E891">
        <v>148.470001</v>
      </c>
      <c r="F891">
        <v>148.01850899999999</v>
      </c>
      <c r="G891">
        <v>78140700</v>
      </c>
      <c r="H891" s="2">
        <f t="shared" si="13"/>
        <v>2.0482479191611835E-2</v>
      </c>
    </row>
    <row r="892" spans="1:8" x14ac:dyDescent="0.35">
      <c r="A892" s="1">
        <v>44757</v>
      </c>
      <c r="B892">
        <v>149.779999</v>
      </c>
      <c r="C892">
        <v>150.86000100000001</v>
      </c>
      <c r="D892">
        <v>148.199997</v>
      </c>
      <c r="E892">
        <v>150.16999799999999</v>
      </c>
      <c r="F892">
        <v>149.713348</v>
      </c>
      <c r="G892">
        <v>76259900</v>
      </c>
      <c r="H892" s="2">
        <f t="shared" si="13"/>
        <v>1.1450104321074184E-2</v>
      </c>
    </row>
    <row r="893" spans="1:8" x14ac:dyDescent="0.35">
      <c r="A893" s="1">
        <v>44760</v>
      </c>
      <c r="B893">
        <v>150.740005</v>
      </c>
      <c r="C893">
        <v>151.570007</v>
      </c>
      <c r="D893">
        <v>146.699997</v>
      </c>
      <c r="E893">
        <v>147.070007</v>
      </c>
      <c r="F893">
        <v>146.622772</v>
      </c>
      <c r="G893">
        <v>81420900</v>
      </c>
      <c r="H893" s="2">
        <f t="shared" si="13"/>
        <v>-2.0643211302433295E-2</v>
      </c>
    </row>
    <row r="894" spans="1:8" x14ac:dyDescent="0.35">
      <c r="A894" s="1">
        <v>44761</v>
      </c>
      <c r="B894">
        <v>147.91999799999999</v>
      </c>
      <c r="C894">
        <v>151.229996</v>
      </c>
      <c r="D894">
        <v>146.91000399999999</v>
      </c>
      <c r="E894">
        <v>151</v>
      </c>
      <c r="F894">
        <v>150.540817</v>
      </c>
      <c r="G894">
        <v>82982400</v>
      </c>
      <c r="H894" s="2">
        <f t="shared" si="13"/>
        <v>2.6721920262096743E-2</v>
      </c>
    </row>
    <row r="895" spans="1:8" x14ac:dyDescent="0.35">
      <c r="A895" s="1">
        <v>44762</v>
      </c>
      <c r="B895">
        <v>151.11999499999999</v>
      </c>
      <c r="C895">
        <v>153.720001</v>
      </c>
      <c r="D895">
        <v>150.36999499999999</v>
      </c>
      <c r="E895">
        <v>153.03999300000001</v>
      </c>
      <c r="F895">
        <v>152.57461499999999</v>
      </c>
      <c r="G895">
        <v>64823400</v>
      </c>
      <c r="H895" s="2">
        <f t="shared" si="13"/>
        <v>1.3509887417218591E-2</v>
      </c>
    </row>
    <row r="896" spans="1:8" x14ac:dyDescent="0.35">
      <c r="A896" s="1">
        <v>44763</v>
      </c>
      <c r="B896">
        <v>154.5</v>
      </c>
      <c r="C896">
        <v>155.570007</v>
      </c>
      <c r="D896">
        <v>151.94000199999999</v>
      </c>
      <c r="E896">
        <v>155.35000600000001</v>
      </c>
      <c r="F896">
        <v>154.87759399999999</v>
      </c>
      <c r="G896">
        <v>65086600</v>
      </c>
      <c r="H896" s="2">
        <f t="shared" si="13"/>
        <v>1.5094178683084492E-2</v>
      </c>
    </row>
    <row r="897" spans="1:8" x14ac:dyDescent="0.35">
      <c r="A897" s="1">
        <v>44764</v>
      </c>
      <c r="B897">
        <v>155.38999899999999</v>
      </c>
      <c r="C897">
        <v>156.279999</v>
      </c>
      <c r="D897">
        <v>153.41000399999999</v>
      </c>
      <c r="E897">
        <v>154.08999600000001</v>
      </c>
      <c r="F897">
        <v>153.62141399999999</v>
      </c>
      <c r="G897">
        <v>66675400</v>
      </c>
      <c r="H897" s="2">
        <f t="shared" si="13"/>
        <v>-8.1107817916659108E-3</v>
      </c>
    </row>
    <row r="898" spans="1:8" x14ac:dyDescent="0.35">
      <c r="A898" s="1">
        <v>44767</v>
      </c>
      <c r="B898">
        <v>154.009995</v>
      </c>
      <c r="C898">
        <v>155.03999300000001</v>
      </c>
      <c r="D898">
        <v>152.279999</v>
      </c>
      <c r="E898">
        <v>152.949997</v>
      </c>
      <c r="F898">
        <v>152.484894</v>
      </c>
      <c r="G898">
        <v>53623900</v>
      </c>
      <c r="H898" s="2">
        <f t="shared" si="13"/>
        <v>-7.398267438465056E-3</v>
      </c>
    </row>
    <row r="899" spans="1:8" x14ac:dyDescent="0.35">
      <c r="A899" s="1">
        <v>44768</v>
      </c>
      <c r="B899">
        <v>152.259995</v>
      </c>
      <c r="C899">
        <v>153.08999600000001</v>
      </c>
      <c r="D899">
        <v>150.800003</v>
      </c>
      <c r="E899">
        <v>151.60000600000001</v>
      </c>
      <c r="F899">
        <v>151.13900799999999</v>
      </c>
      <c r="G899">
        <v>55138700</v>
      </c>
      <c r="H899" s="2">
        <f t="shared" si="13"/>
        <v>-8.8263551911019755E-3</v>
      </c>
    </row>
    <row r="900" spans="1:8" x14ac:dyDescent="0.35">
      <c r="A900" s="1">
        <v>44769</v>
      </c>
      <c r="B900">
        <v>152.58000200000001</v>
      </c>
      <c r="C900">
        <v>157.33000200000001</v>
      </c>
      <c r="D900">
        <v>152.16000399999999</v>
      </c>
      <c r="E900">
        <v>156.78999300000001</v>
      </c>
      <c r="F900">
        <v>156.31320199999999</v>
      </c>
      <c r="G900">
        <v>78620700</v>
      </c>
      <c r="H900" s="2">
        <f t="shared" ref="H900:H963" si="14">E900/E899-1</f>
        <v>3.4234741389126411E-2</v>
      </c>
    </row>
    <row r="901" spans="1:8" x14ac:dyDescent="0.35">
      <c r="A901" s="1">
        <v>44770</v>
      </c>
      <c r="B901">
        <v>156.979996</v>
      </c>
      <c r="C901">
        <v>157.63999899999999</v>
      </c>
      <c r="D901">
        <v>154.41000399999999</v>
      </c>
      <c r="E901">
        <v>157.35000600000001</v>
      </c>
      <c r="F901">
        <v>156.871521</v>
      </c>
      <c r="G901">
        <v>81378700</v>
      </c>
      <c r="H901" s="2">
        <f t="shared" si="14"/>
        <v>3.5717394285488258E-3</v>
      </c>
    </row>
    <row r="902" spans="1:8" x14ac:dyDescent="0.35">
      <c r="A902" s="1">
        <v>44771</v>
      </c>
      <c r="B902">
        <v>161.240005</v>
      </c>
      <c r="C902">
        <v>163.63000500000001</v>
      </c>
      <c r="D902">
        <v>159.5</v>
      </c>
      <c r="E902">
        <v>162.509995</v>
      </c>
      <c r="F902">
        <v>162.01580799999999</v>
      </c>
      <c r="G902">
        <v>101786900</v>
      </c>
      <c r="H902" s="2">
        <f t="shared" si="14"/>
        <v>3.2793065162005641E-2</v>
      </c>
    </row>
    <row r="903" spans="1:8" x14ac:dyDescent="0.35">
      <c r="A903" s="1">
        <v>44774</v>
      </c>
      <c r="B903">
        <v>161.009995</v>
      </c>
      <c r="C903">
        <v>163.58999600000001</v>
      </c>
      <c r="D903">
        <v>160.88999899999999</v>
      </c>
      <c r="E903">
        <v>161.509995</v>
      </c>
      <c r="F903">
        <v>161.01885999999999</v>
      </c>
      <c r="G903">
        <v>67829400</v>
      </c>
      <c r="H903" s="2">
        <f t="shared" si="14"/>
        <v>-6.153467668250201E-3</v>
      </c>
    </row>
    <row r="904" spans="1:8" x14ac:dyDescent="0.35">
      <c r="A904" s="1">
        <v>44775</v>
      </c>
      <c r="B904">
        <v>160.10000600000001</v>
      </c>
      <c r="C904">
        <v>162.41000399999999</v>
      </c>
      <c r="D904">
        <v>159.63000500000001</v>
      </c>
      <c r="E904">
        <v>160.009995</v>
      </c>
      <c r="F904">
        <v>159.52340699999999</v>
      </c>
      <c r="G904">
        <v>59907000</v>
      </c>
      <c r="H904" s="2">
        <f t="shared" si="14"/>
        <v>-9.2873509159603351E-3</v>
      </c>
    </row>
    <row r="905" spans="1:8" x14ac:dyDescent="0.35">
      <c r="A905" s="1">
        <v>44776</v>
      </c>
      <c r="B905">
        <v>160.83999600000001</v>
      </c>
      <c r="C905">
        <v>166.58999600000001</v>
      </c>
      <c r="D905">
        <v>160.75</v>
      </c>
      <c r="E905">
        <v>166.13000500000001</v>
      </c>
      <c r="F905">
        <v>165.62481700000001</v>
      </c>
      <c r="G905">
        <v>82507500</v>
      </c>
      <c r="H905" s="2">
        <f t="shared" si="14"/>
        <v>3.8247673215663802E-2</v>
      </c>
    </row>
    <row r="906" spans="1:8" x14ac:dyDescent="0.35">
      <c r="A906" s="1">
        <v>44777</v>
      </c>
      <c r="B906">
        <v>166.009995</v>
      </c>
      <c r="C906">
        <v>167.19000199999999</v>
      </c>
      <c r="D906">
        <v>164.429993</v>
      </c>
      <c r="E906">
        <v>165.80999800000001</v>
      </c>
      <c r="F906">
        <v>165.30578600000001</v>
      </c>
      <c r="G906">
        <v>55474100</v>
      </c>
      <c r="H906" s="2">
        <f t="shared" si="14"/>
        <v>-1.9262444493395314E-3</v>
      </c>
    </row>
    <row r="907" spans="1:8" x14ac:dyDescent="0.35">
      <c r="A907" s="1">
        <v>44778</v>
      </c>
      <c r="B907">
        <v>163.21000699999999</v>
      </c>
      <c r="C907">
        <v>165.85000600000001</v>
      </c>
      <c r="D907">
        <v>163</v>
      </c>
      <c r="E907">
        <v>165.35000600000001</v>
      </c>
      <c r="F907">
        <v>165.07617200000001</v>
      </c>
      <c r="G907">
        <v>56697000</v>
      </c>
      <c r="H907" s="2">
        <f t="shared" si="14"/>
        <v>-2.7742114802993267E-3</v>
      </c>
    </row>
    <row r="908" spans="1:8" x14ac:dyDescent="0.35">
      <c r="A908" s="1">
        <v>44781</v>
      </c>
      <c r="B908">
        <v>166.36999499999999</v>
      </c>
      <c r="C908">
        <v>167.80999800000001</v>
      </c>
      <c r="D908">
        <v>164.199997</v>
      </c>
      <c r="E908">
        <v>164.86999499999999</v>
      </c>
      <c r="F908">
        <v>164.59695400000001</v>
      </c>
      <c r="G908">
        <v>60276900</v>
      </c>
      <c r="H908" s="2">
        <f t="shared" si="14"/>
        <v>-2.9029995922710272E-3</v>
      </c>
    </row>
    <row r="909" spans="1:8" x14ac:dyDescent="0.35">
      <c r="A909" s="1">
        <v>44782</v>
      </c>
      <c r="B909">
        <v>164.020004</v>
      </c>
      <c r="C909">
        <v>165.820007</v>
      </c>
      <c r="D909">
        <v>163.25</v>
      </c>
      <c r="E909">
        <v>164.91999799999999</v>
      </c>
      <c r="F909">
        <v>164.64686599999999</v>
      </c>
      <c r="G909">
        <v>63135500</v>
      </c>
      <c r="H909" s="2">
        <f t="shared" si="14"/>
        <v>3.0328744778573835E-4</v>
      </c>
    </row>
    <row r="910" spans="1:8" x14ac:dyDescent="0.35">
      <c r="A910" s="1">
        <v>44783</v>
      </c>
      <c r="B910">
        <v>167.679993</v>
      </c>
      <c r="C910">
        <v>169.33999600000001</v>
      </c>
      <c r="D910">
        <v>166.89999399999999</v>
      </c>
      <c r="E910">
        <v>169.240005</v>
      </c>
      <c r="F910">
        <v>168.959732</v>
      </c>
      <c r="G910">
        <v>70170500</v>
      </c>
      <c r="H910" s="2">
        <f t="shared" si="14"/>
        <v>2.6194561316936316E-2</v>
      </c>
    </row>
    <row r="911" spans="1:8" x14ac:dyDescent="0.35">
      <c r="A911" s="1">
        <v>44784</v>
      </c>
      <c r="B911">
        <v>170.05999800000001</v>
      </c>
      <c r="C911">
        <v>170.990005</v>
      </c>
      <c r="D911">
        <v>168.19000199999999</v>
      </c>
      <c r="E911">
        <v>168.490005</v>
      </c>
      <c r="F911">
        <v>168.21096800000001</v>
      </c>
      <c r="G911">
        <v>57149200</v>
      </c>
      <c r="H911" s="2">
        <f t="shared" si="14"/>
        <v>-4.4315763285400767E-3</v>
      </c>
    </row>
    <row r="912" spans="1:8" x14ac:dyDescent="0.35">
      <c r="A912" s="1">
        <v>44785</v>
      </c>
      <c r="B912">
        <v>169.820007</v>
      </c>
      <c r="C912">
        <v>172.16999799999999</v>
      </c>
      <c r="D912">
        <v>169.39999399999999</v>
      </c>
      <c r="E912">
        <v>172.10000600000001</v>
      </c>
      <c r="F912">
        <v>171.814987</v>
      </c>
      <c r="G912">
        <v>68039400</v>
      </c>
      <c r="H912" s="2">
        <f t="shared" si="14"/>
        <v>2.1425609192664119E-2</v>
      </c>
    </row>
    <row r="913" spans="1:8" x14ac:dyDescent="0.35">
      <c r="A913" s="1">
        <v>44788</v>
      </c>
      <c r="B913">
        <v>171.520004</v>
      </c>
      <c r="C913">
        <v>173.38999899999999</v>
      </c>
      <c r="D913">
        <v>171.35000600000001</v>
      </c>
      <c r="E913">
        <v>173.19000199999999</v>
      </c>
      <c r="F913">
        <v>172.90318300000001</v>
      </c>
      <c r="G913">
        <v>54091700</v>
      </c>
      <c r="H913" s="2">
        <f t="shared" si="14"/>
        <v>6.3335035560661002E-3</v>
      </c>
    </row>
    <row r="914" spans="1:8" x14ac:dyDescent="0.35">
      <c r="A914" s="1">
        <v>44789</v>
      </c>
      <c r="B914">
        <v>172.779999</v>
      </c>
      <c r="C914">
        <v>173.71000699999999</v>
      </c>
      <c r="D914">
        <v>171.66000399999999</v>
      </c>
      <c r="E914">
        <v>173.029999</v>
      </c>
      <c r="F914">
        <v>172.743439</v>
      </c>
      <c r="G914">
        <v>56377100</v>
      </c>
      <c r="H914" s="2">
        <f t="shared" si="14"/>
        <v>-9.2385817975793039E-4</v>
      </c>
    </row>
    <row r="915" spans="1:8" x14ac:dyDescent="0.35">
      <c r="A915" s="1">
        <v>44790</v>
      </c>
      <c r="B915">
        <v>172.770004</v>
      </c>
      <c r="C915">
        <v>176.14999399999999</v>
      </c>
      <c r="D915">
        <v>172.570007</v>
      </c>
      <c r="E915">
        <v>174.550003</v>
      </c>
      <c r="F915">
        <v>174.26092499999999</v>
      </c>
      <c r="G915">
        <v>79542000</v>
      </c>
      <c r="H915" s="2">
        <f t="shared" si="14"/>
        <v>8.7846269940741184E-3</v>
      </c>
    </row>
    <row r="916" spans="1:8" x14ac:dyDescent="0.35">
      <c r="A916" s="1">
        <v>44791</v>
      </c>
      <c r="B916">
        <v>173.75</v>
      </c>
      <c r="C916">
        <v>174.89999399999999</v>
      </c>
      <c r="D916">
        <v>173.11999499999999</v>
      </c>
      <c r="E916">
        <v>174.14999399999999</v>
      </c>
      <c r="F916">
        <v>173.86158800000001</v>
      </c>
      <c r="G916">
        <v>62290100</v>
      </c>
      <c r="H916" s="2">
        <f t="shared" si="14"/>
        <v>-2.2916585111717458E-3</v>
      </c>
    </row>
    <row r="917" spans="1:8" x14ac:dyDescent="0.35">
      <c r="A917" s="1">
        <v>44792</v>
      </c>
      <c r="B917">
        <v>173.029999</v>
      </c>
      <c r="C917">
        <v>173.740005</v>
      </c>
      <c r="D917">
        <v>171.30999800000001</v>
      </c>
      <c r="E917">
        <v>171.520004</v>
      </c>
      <c r="F917">
        <v>171.23594700000001</v>
      </c>
      <c r="G917">
        <v>70346300</v>
      </c>
      <c r="H917" s="2">
        <f t="shared" si="14"/>
        <v>-1.5101866727598057E-2</v>
      </c>
    </row>
    <row r="918" spans="1:8" x14ac:dyDescent="0.35">
      <c r="A918" s="1">
        <v>44795</v>
      </c>
      <c r="B918">
        <v>169.69000199999999</v>
      </c>
      <c r="C918">
        <v>169.86000100000001</v>
      </c>
      <c r="D918">
        <v>167.13999899999999</v>
      </c>
      <c r="E918">
        <v>167.570007</v>
      </c>
      <c r="F918">
        <v>167.292496</v>
      </c>
      <c r="G918">
        <v>69026800</v>
      </c>
      <c r="H918" s="2">
        <f t="shared" si="14"/>
        <v>-2.3029366300621135E-2</v>
      </c>
    </row>
    <row r="919" spans="1:8" x14ac:dyDescent="0.35">
      <c r="A919" s="1">
        <v>44796</v>
      </c>
      <c r="B919">
        <v>167.08000200000001</v>
      </c>
      <c r="C919">
        <v>168.71000699999999</v>
      </c>
      <c r="D919">
        <v>166.64999399999999</v>
      </c>
      <c r="E919">
        <v>167.229996</v>
      </c>
      <c r="F919">
        <v>166.95304899999999</v>
      </c>
      <c r="G919">
        <v>54147100</v>
      </c>
      <c r="H919" s="2">
        <f t="shared" si="14"/>
        <v>-2.0290683642449903E-3</v>
      </c>
    </row>
    <row r="920" spans="1:8" x14ac:dyDescent="0.35">
      <c r="A920" s="1">
        <v>44797</v>
      </c>
      <c r="B920">
        <v>167.320007</v>
      </c>
      <c r="C920">
        <v>168.11000100000001</v>
      </c>
      <c r="D920">
        <v>166.25</v>
      </c>
      <c r="E920">
        <v>167.529999</v>
      </c>
      <c r="F920">
        <v>167.25254799999999</v>
      </c>
      <c r="G920">
        <v>53841500</v>
      </c>
      <c r="H920" s="2">
        <f t="shared" si="14"/>
        <v>1.7939544769229876E-3</v>
      </c>
    </row>
    <row r="921" spans="1:8" x14ac:dyDescent="0.35">
      <c r="A921" s="1">
        <v>44798</v>
      </c>
      <c r="B921">
        <v>168.779999</v>
      </c>
      <c r="C921">
        <v>170.13999899999999</v>
      </c>
      <c r="D921">
        <v>168.35000600000001</v>
      </c>
      <c r="E921">
        <v>170.029999</v>
      </c>
      <c r="F921">
        <v>169.748413</v>
      </c>
      <c r="G921">
        <v>51218200</v>
      </c>
      <c r="H921" s="2">
        <f t="shared" si="14"/>
        <v>1.4922700500941355E-2</v>
      </c>
    </row>
    <row r="922" spans="1:8" x14ac:dyDescent="0.35">
      <c r="A922" s="1">
        <v>44799</v>
      </c>
      <c r="B922">
        <v>170.570007</v>
      </c>
      <c r="C922">
        <v>171.050003</v>
      </c>
      <c r="D922">
        <v>163.55999800000001</v>
      </c>
      <c r="E922">
        <v>163.61999499999999</v>
      </c>
      <c r="F922">
        <v>163.34901400000001</v>
      </c>
      <c r="G922">
        <v>78961000</v>
      </c>
      <c r="H922" s="2">
        <f t="shared" si="14"/>
        <v>-3.7699253294708357E-2</v>
      </c>
    </row>
    <row r="923" spans="1:8" x14ac:dyDescent="0.35">
      <c r="A923" s="1">
        <v>44802</v>
      </c>
      <c r="B923">
        <v>161.14999399999999</v>
      </c>
      <c r="C923">
        <v>162.89999399999999</v>
      </c>
      <c r="D923">
        <v>159.820007</v>
      </c>
      <c r="E923">
        <v>161.38000500000001</v>
      </c>
      <c r="F923">
        <v>161.11274700000001</v>
      </c>
      <c r="G923">
        <v>73314000</v>
      </c>
      <c r="H923" s="2">
        <f t="shared" si="14"/>
        <v>-1.3690197215810773E-2</v>
      </c>
    </row>
    <row r="924" spans="1:8" x14ac:dyDescent="0.35">
      <c r="A924" s="1">
        <v>44803</v>
      </c>
      <c r="B924">
        <v>162.13000500000001</v>
      </c>
      <c r="C924">
        <v>162.55999800000001</v>
      </c>
      <c r="D924">
        <v>157.720001</v>
      </c>
      <c r="E924">
        <v>158.91000399999999</v>
      </c>
      <c r="F924">
        <v>158.64683500000001</v>
      </c>
      <c r="G924">
        <v>77906200</v>
      </c>
      <c r="H924" s="2">
        <f t="shared" si="14"/>
        <v>-1.5305495869826102E-2</v>
      </c>
    </row>
    <row r="925" spans="1:8" x14ac:dyDescent="0.35">
      <c r="A925" s="1">
        <v>44804</v>
      </c>
      <c r="B925">
        <v>160.30999800000001</v>
      </c>
      <c r="C925">
        <v>160.58000200000001</v>
      </c>
      <c r="D925">
        <v>157.13999899999999</v>
      </c>
      <c r="E925">
        <v>157.220001</v>
      </c>
      <c r="F925">
        <v>156.95962499999999</v>
      </c>
      <c r="G925">
        <v>87991100</v>
      </c>
      <c r="H925" s="2">
        <f t="shared" si="14"/>
        <v>-1.0634969211881673E-2</v>
      </c>
    </row>
    <row r="926" spans="1:8" x14ac:dyDescent="0.35">
      <c r="A926" s="1">
        <v>44805</v>
      </c>
      <c r="B926">
        <v>156.63999899999999</v>
      </c>
      <c r="C926">
        <v>158.41999799999999</v>
      </c>
      <c r="D926">
        <v>154.66999799999999</v>
      </c>
      <c r="E926">
        <v>157.96000699999999</v>
      </c>
      <c r="F926">
        <v>157.69841</v>
      </c>
      <c r="G926">
        <v>74229900</v>
      </c>
      <c r="H926" s="2">
        <f t="shared" si="14"/>
        <v>4.7068184409946312E-3</v>
      </c>
    </row>
    <row r="927" spans="1:8" x14ac:dyDescent="0.35">
      <c r="A927" s="1">
        <v>44806</v>
      </c>
      <c r="B927">
        <v>159.75</v>
      </c>
      <c r="C927">
        <v>160.36000100000001</v>
      </c>
      <c r="D927">
        <v>154.970001</v>
      </c>
      <c r="E927">
        <v>155.80999800000001</v>
      </c>
      <c r="F927">
        <v>155.55195599999999</v>
      </c>
      <c r="G927">
        <v>76957800</v>
      </c>
      <c r="H927" s="2">
        <f t="shared" si="14"/>
        <v>-1.3611097143088724E-2</v>
      </c>
    </row>
    <row r="928" spans="1:8" x14ac:dyDescent="0.35">
      <c r="A928" s="1">
        <v>44810</v>
      </c>
      <c r="B928">
        <v>156.470001</v>
      </c>
      <c r="C928">
        <v>157.08999600000001</v>
      </c>
      <c r="D928">
        <v>153.69000199999999</v>
      </c>
      <c r="E928">
        <v>154.529999</v>
      </c>
      <c r="F928">
        <v>154.274078</v>
      </c>
      <c r="G928">
        <v>73714800</v>
      </c>
      <c r="H928" s="2">
        <f t="shared" si="14"/>
        <v>-8.2151275042054994E-3</v>
      </c>
    </row>
    <row r="929" spans="1:8" x14ac:dyDescent="0.35">
      <c r="A929" s="1">
        <v>44811</v>
      </c>
      <c r="B929">
        <v>154.820007</v>
      </c>
      <c r="C929">
        <v>156.66999799999999</v>
      </c>
      <c r="D929">
        <v>153.61000100000001</v>
      </c>
      <c r="E929">
        <v>155.96000699999999</v>
      </c>
      <c r="F929">
        <v>155.70172099999999</v>
      </c>
      <c r="G929">
        <v>87449600</v>
      </c>
      <c r="H929" s="2">
        <f t="shared" si="14"/>
        <v>9.2539183928939117E-3</v>
      </c>
    </row>
    <row r="930" spans="1:8" x14ac:dyDescent="0.35">
      <c r="A930" s="1">
        <v>44812</v>
      </c>
      <c r="B930">
        <v>154.63999899999999</v>
      </c>
      <c r="C930">
        <v>156.36000100000001</v>
      </c>
      <c r="D930">
        <v>152.679993</v>
      </c>
      <c r="E930">
        <v>154.46000699999999</v>
      </c>
      <c r="F930">
        <v>154.20420799999999</v>
      </c>
      <c r="G930">
        <v>84923800</v>
      </c>
      <c r="H930" s="2">
        <f t="shared" si="14"/>
        <v>-9.6178502992757542E-3</v>
      </c>
    </row>
    <row r="931" spans="1:8" x14ac:dyDescent="0.35">
      <c r="A931" s="1">
        <v>44813</v>
      </c>
      <c r="B931">
        <v>155.470001</v>
      </c>
      <c r="C931">
        <v>157.820007</v>
      </c>
      <c r="D931">
        <v>154.75</v>
      </c>
      <c r="E931">
        <v>157.36999499999999</v>
      </c>
      <c r="F931">
        <v>157.109375</v>
      </c>
      <c r="G931">
        <v>68028800</v>
      </c>
      <c r="H931" s="2">
        <f t="shared" si="14"/>
        <v>1.8839750538144129E-2</v>
      </c>
    </row>
    <row r="932" spans="1:8" x14ac:dyDescent="0.35">
      <c r="A932" s="1">
        <v>44816</v>
      </c>
      <c r="B932">
        <v>159.58999600000001</v>
      </c>
      <c r="C932">
        <v>164.259995</v>
      </c>
      <c r="D932">
        <v>159.300003</v>
      </c>
      <c r="E932">
        <v>163.429993</v>
      </c>
      <c r="F932">
        <v>163.15933200000001</v>
      </c>
      <c r="G932">
        <v>104956000</v>
      </c>
      <c r="H932" s="2">
        <f t="shared" si="14"/>
        <v>3.8507963350955299E-2</v>
      </c>
    </row>
    <row r="933" spans="1:8" x14ac:dyDescent="0.35">
      <c r="A933" s="1">
        <v>44817</v>
      </c>
      <c r="B933">
        <v>159.89999399999999</v>
      </c>
      <c r="C933">
        <v>160.53999300000001</v>
      </c>
      <c r="D933">
        <v>153.36999499999999</v>
      </c>
      <c r="E933">
        <v>153.83999600000001</v>
      </c>
      <c r="F933">
        <v>153.58521999999999</v>
      </c>
      <c r="G933">
        <v>122656600</v>
      </c>
      <c r="H933" s="2">
        <f t="shared" si="14"/>
        <v>-5.8679541153746406E-2</v>
      </c>
    </row>
    <row r="934" spans="1:8" x14ac:dyDescent="0.35">
      <c r="A934" s="1">
        <v>44818</v>
      </c>
      <c r="B934">
        <v>154.78999300000001</v>
      </c>
      <c r="C934">
        <v>157.10000600000001</v>
      </c>
      <c r="D934">
        <v>153.61000100000001</v>
      </c>
      <c r="E934">
        <v>155.30999800000001</v>
      </c>
      <c r="F934">
        <v>155.05278000000001</v>
      </c>
      <c r="G934">
        <v>87965400</v>
      </c>
      <c r="H934" s="2">
        <f t="shared" si="14"/>
        <v>9.5553954642588756E-3</v>
      </c>
    </row>
    <row r="935" spans="1:8" x14ac:dyDescent="0.35">
      <c r="A935" s="1">
        <v>44819</v>
      </c>
      <c r="B935">
        <v>154.64999399999999</v>
      </c>
      <c r="C935">
        <v>155.240005</v>
      </c>
      <c r="D935">
        <v>151.38000500000001</v>
      </c>
      <c r="E935">
        <v>152.36999499999999</v>
      </c>
      <c r="F935">
        <v>152.11764500000001</v>
      </c>
      <c r="G935">
        <v>90481100</v>
      </c>
      <c r="H935" s="2">
        <f t="shared" si="14"/>
        <v>-1.8929901731117305E-2</v>
      </c>
    </row>
    <row r="936" spans="1:8" x14ac:dyDescent="0.35">
      <c r="A936" s="1">
        <v>44820</v>
      </c>
      <c r="B936">
        <v>151.21000699999999</v>
      </c>
      <c r="C936">
        <v>151.35000600000001</v>
      </c>
      <c r="D936">
        <v>148.36999499999999</v>
      </c>
      <c r="E936">
        <v>150.699997</v>
      </c>
      <c r="F936">
        <v>150.450424</v>
      </c>
      <c r="G936">
        <v>162278800</v>
      </c>
      <c r="H936" s="2">
        <f t="shared" si="14"/>
        <v>-1.0960149995410839E-2</v>
      </c>
    </row>
    <row r="937" spans="1:8" x14ac:dyDescent="0.35">
      <c r="A937" s="1">
        <v>44823</v>
      </c>
      <c r="B937">
        <v>149.30999800000001</v>
      </c>
      <c r="C937">
        <v>154.55999800000001</v>
      </c>
      <c r="D937">
        <v>149.10000600000001</v>
      </c>
      <c r="E937">
        <v>154.479996</v>
      </c>
      <c r="F937">
        <v>154.224152</v>
      </c>
      <c r="G937">
        <v>81474200</v>
      </c>
      <c r="H937" s="2">
        <f t="shared" si="14"/>
        <v>2.5082940114458108E-2</v>
      </c>
    </row>
    <row r="938" spans="1:8" x14ac:dyDescent="0.35">
      <c r="A938" s="1">
        <v>44824</v>
      </c>
      <c r="B938">
        <v>153.39999399999999</v>
      </c>
      <c r="C938">
        <v>158.08000200000001</v>
      </c>
      <c r="D938">
        <v>153.08000200000001</v>
      </c>
      <c r="E938">
        <v>156.89999399999999</v>
      </c>
      <c r="F938">
        <v>156.640152</v>
      </c>
      <c r="G938">
        <v>107689800</v>
      </c>
      <c r="H938" s="2">
        <f t="shared" si="14"/>
        <v>1.566544577072615E-2</v>
      </c>
    </row>
    <row r="939" spans="1:8" x14ac:dyDescent="0.35">
      <c r="A939" s="1">
        <v>44825</v>
      </c>
      <c r="B939">
        <v>157.33999600000001</v>
      </c>
      <c r="C939">
        <v>158.740005</v>
      </c>
      <c r="D939">
        <v>153.60000600000001</v>
      </c>
      <c r="E939">
        <v>153.720001</v>
      </c>
      <c r="F939">
        <v>153.46542400000001</v>
      </c>
      <c r="G939">
        <v>101696800</v>
      </c>
      <c r="H939" s="2">
        <f t="shared" si="14"/>
        <v>-2.0267642585123369E-2</v>
      </c>
    </row>
    <row r="940" spans="1:8" x14ac:dyDescent="0.35">
      <c r="A940" s="1">
        <v>44826</v>
      </c>
      <c r="B940">
        <v>152.38000500000001</v>
      </c>
      <c r="C940">
        <v>154.470001</v>
      </c>
      <c r="D940">
        <v>150.91000399999999</v>
      </c>
      <c r="E940">
        <v>152.740005</v>
      </c>
      <c r="F940">
        <v>152.48704499999999</v>
      </c>
      <c r="G940">
        <v>86652500</v>
      </c>
      <c r="H940" s="2">
        <f t="shared" si="14"/>
        <v>-6.3752016238928233E-3</v>
      </c>
    </row>
    <row r="941" spans="1:8" x14ac:dyDescent="0.35">
      <c r="A941" s="1">
        <v>44827</v>
      </c>
      <c r="B941">
        <v>151.19000199999999</v>
      </c>
      <c r="C941">
        <v>151.470001</v>
      </c>
      <c r="D941">
        <v>148.55999800000001</v>
      </c>
      <c r="E941">
        <v>150.429993</v>
      </c>
      <c r="F941">
        <v>150.18086199999999</v>
      </c>
      <c r="G941">
        <v>96029900</v>
      </c>
      <c r="H941" s="2">
        <f t="shared" si="14"/>
        <v>-1.5123817758157077E-2</v>
      </c>
    </row>
    <row r="942" spans="1:8" x14ac:dyDescent="0.35">
      <c r="A942" s="1">
        <v>44830</v>
      </c>
      <c r="B942">
        <v>149.66000399999999</v>
      </c>
      <c r="C942">
        <v>153.770004</v>
      </c>
      <c r="D942">
        <v>149.63999899999999</v>
      </c>
      <c r="E942">
        <v>150.770004</v>
      </c>
      <c r="F942">
        <v>150.520309</v>
      </c>
      <c r="G942">
        <v>93339400</v>
      </c>
      <c r="H942" s="2">
        <f t="shared" si="14"/>
        <v>2.2602606914965406E-3</v>
      </c>
    </row>
    <row r="943" spans="1:8" x14ac:dyDescent="0.35">
      <c r="A943" s="1">
        <v>44831</v>
      </c>
      <c r="B943">
        <v>152.740005</v>
      </c>
      <c r="C943">
        <v>154.720001</v>
      </c>
      <c r="D943">
        <v>149.949997</v>
      </c>
      <c r="E943">
        <v>151.759995</v>
      </c>
      <c r="F943">
        <v>151.508667</v>
      </c>
      <c r="G943">
        <v>84442700</v>
      </c>
      <c r="H943" s="2">
        <f t="shared" si="14"/>
        <v>6.5662331613389746E-3</v>
      </c>
    </row>
    <row r="944" spans="1:8" x14ac:dyDescent="0.35">
      <c r="A944" s="1">
        <v>44832</v>
      </c>
      <c r="B944">
        <v>147.63999899999999</v>
      </c>
      <c r="C944">
        <v>150.63999899999999</v>
      </c>
      <c r="D944">
        <v>144.83999600000001</v>
      </c>
      <c r="E944">
        <v>149.83999600000001</v>
      </c>
      <c r="F944">
        <v>149.59184300000001</v>
      </c>
      <c r="G944">
        <v>146691400</v>
      </c>
      <c r="H944" s="2">
        <f t="shared" si="14"/>
        <v>-1.2651548914455302E-2</v>
      </c>
    </row>
    <row r="945" spans="1:8" x14ac:dyDescent="0.35">
      <c r="A945" s="1">
        <v>44833</v>
      </c>
      <c r="B945">
        <v>146.10000600000001</v>
      </c>
      <c r="C945">
        <v>146.720001</v>
      </c>
      <c r="D945">
        <v>140.679993</v>
      </c>
      <c r="E945">
        <v>142.479996</v>
      </c>
      <c r="F945">
        <v>142.244034</v>
      </c>
      <c r="G945">
        <v>128138200</v>
      </c>
      <c r="H945" s="2">
        <f t="shared" si="14"/>
        <v>-4.9119061642260098E-2</v>
      </c>
    </row>
    <row r="946" spans="1:8" x14ac:dyDescent="0.35">
      <c r="A946" s="1">
        <v>44834</v>
      </c>
      <c r="B946">
        <v>141.279999</v>
      </c>
      <c r="C946">
        <v>143.10000600000001</v>
      </c>
      <c r="D946">
        <v>138</v>
      </c>
      <c r="E946">
        <v>138.199997</v>
      </c>
      <c r="F946">
        <v>137.971115</v>
      </c>
      <c r="G946">
        <v>124925300</v>
      </c>
      <c r="H946" s="2">
        <f t="shared" si="14"/>
        <v>-3.0039297586729297E-2</v>
      </c>
    </row>
    <row r="947" spans="1:8" x14ac:dyDescent="0.35">
      <c r="A947" s="1">
        <v>44837</v>
      </c>
      <c r="B947">
        <v>138.21000699999999</v>
      </c>
      <c r="C947">
        <v>143.070007</v>
      </c>
      <c r="D947">
        <v>137.69000199999999</v>
      </c>
      <c r="E947">
        <v>142.449997</v>
      </c>
      <c r="F947">
        <v>142.21408099999999</v>
      </c>
      <c r="G947">
        <v>114311700</v>
      </c>
      <c r="H947" s="2">
        <f t="shared" si="14"/>
        <v>3.0752533229071011E-2</v>
      </c>
    </row>
    <row r="948" spans="1:8" x14ac:dyDescent="0.35">
      <c r="A948" s="1">
        <v>44838</v>
      </c>
      <c r="B948">
        <v>145.029999</v>
      </c>
      <c r="C948">
        <v>146.220001</v>
      </c>
      <c r="D948">
        <v>144.259995</v>
      </c>
      <c r="E948">
        <v>146.10000600000001</v>
      </c>
      <c r="F948">
        <v>145.858047</v>
      </c>
      <c r="G948">
        <v>87830100</v>
      </c>
      <c r="H948" s="2">
        <f t="shared" si="14"/>
        <v>2.5623089342711625E-2</v>
      </c>
    </row>
    <row r="949" spans="1:8" x14ac:dyDescent="0.35">
      <c r="A949" s="1">
        <v>44839</v>
      </c>
      <c r="B949">
        <v>144.070007</v>
      </c>
      <c r="C949">
        <v>147.38000500000001</v>
      </c>
      <c r="D949">
        <v>143.009995</v>
      </c>
      <c r="E949">
        <v>146.39999399999999</v>
      </c>
      <c r="F949">
        <v>146.157532</v>
      </c>
      <c r="G949">
        <v>79471000</v>
      </c>
      <c r="H949" s="2">
        <f t="shared" si="14"/>
        <v>2.0533058705007878E-3</v>
      </c>
    </row>
    <row r="950" spans="1:8" x14ac:dyDescent="0.35">
      <c r="A950" s="1">
        <v>44840</v>
      </c>
      <c r="B950">
        <v>145.80999800000001</v>
      </c>
      <c r="C950">
        <v>147.53999300000001</v>
      </c>
      <c r="D950">
        <v>145.220001</v>
      </c>
      <c r="E950">
        <v>145.429993</v>
      </c>
      <c r="F950">
        <v>145.18914799999999</v>
      </c>
      <c r="G950">
        <v>68402200</v>
      </c>
      <c r="H950" s="2">
        <f t="shared" si="14"/>
        <v>-6.6256901622550046E-3</v>
      </c>
    </row>
    <row r="951" spans="1:8" x14ac:dyDescent="0.35">
      <c r="A951" s="1">
        <v>44841</v>
      </c>
      <c r="B951">
        <v>142.53999300000001</v>
      </c>
      <c r="C951">
        <v>143.10000600000001</v>
      </c>
      <c r="D951">
        <v>139.449997</v>
      </c>
      <c r="E951">
        <v>140.08999600000001</v>
      </c>
      <c r="F951">
        <v>139.85798600000001</v>
      </c>
      <c r="G951">
        <v>85925600</v>
      </c>
      <c r="H951" s="2">
        <f t="shared" si="14"/>
        <v>-3.6718677418900669E-2</v>
      </c>
    </row>
    <row r="952" spans="1:8" x14ac:dyDescent="0.35">
      <c r="A952" s="1">
        <v>44844</v>
      </c>
      <c r="B952">
        <v>140.41999799999999</v>
      </c>
      <c r="C952">
        <v>141.88999899999999</v>
      </c>
      <c r="D952">
        <v>138.570007</v>
      </c>
      <c r="E952">
        <v>140.41999799999999</v>
      </c>
      <c r="F952">
        <v>140.18743900000001</v>
      </c>
      <c r="G952">
        <v>74899000</v>
      </c>
      <c r="H952" s="2">
        <f t="shared" si="14"/>
        <v>2.3556428683171315E-3</v>
      </c>
    </row>
    <row r="953" spans="1:8" x14ac:dyDescent="0.35">
      <c r="A953" s="1">
        <v>44845</v>
      </c>
      <c r="B953">
        <v>139.89999399999999</v>
      </c>
      <c r="C953">
        <v>141.35000600000001</v>
      </c>
      <c r="D953">
        <v>138.220001</v>
      </c>
      <c r="E953">
        <v>138.979996</v>
      </c>
      <c r="F953">
        <v>138.749832</v>
      </c>
      <c r="G953">
        <v>77033700</v>
      </c>
      <c r="H953" s="2">
        <f t="shared" si="14"/>
        <v>-1.0254963826448638E-2</v>
      </c>
    </row>
    <row r="954" spans="1:8" x14ac:dyDescent="0.35">
      <c r="A954" s="1">
        <v>44846</v>
      </c>
      <c r="B954">
        <v>139.13000500000001</v>
      </c>
      <c r="C954">
        <v>140.36000100000001</v>
      </c>
      <c r="D954">
        <v>138.16000399999999</v>
      </c>
      <c r="E954">
        <v>138.33999600000001</v>
      </c>
      <c r="F954">
        <v>138.11088599999999</v>
      </c>
      <c r="G954">
        <v>70433700</v>
      </c>
      <c r="H954" s="2">
        <f t="shared" si="14"/>
        <v>-4.604979266224607E-3</v>
      </c>
    </row>
    <row r="955" spans="1:8" x14ac:dyDescent="0.35">
      <c r="A955" s="1">
        <v>44847</v>
      </c>
      <c r="B955">
        <v>134.990005</v>
      </c>
      <c r="C955">
        <v>143.58999600000001</v>
      </c>
      <c r="D955">
        <v>134.36999499999999</v>
      </c>
      <c r="E955">
        <v>142.990005</v>
      </c>
      <c r="F955">
        <v>142.75320400000001</v>
      </c>
      <c r="G955">
        <v>113224000</v>
      </c>
      <c r="H955" s="2">
        <f t="shared" si="14"/>
        <v>3.3612903964519214E-2</v>
      </c>
    </row>
    <row r="956" spans="1:8" x14ac:dyDescent="0.35">
      <c r="A956" s="1">
        <v>44848</v>
      </c>
      <c r="B956">
        <v>144.30999800000001</v>
      </c>
      <c r="C956">
        <v>144.520004</v>
      </c>
      <c r="D956">
        <v>138.19000199999999</v>
      </c>
      <c r="E956">
        <v>138.38000500000001</v>
      </c>
      <c r="F956">
        <v>138.15083300000001</v>
      </c>
      <c r="G956">
        <v>88598000</v>
      </c>
      <c r="H956" s="2">
        <f t="shared" si="14"/>
        <v>-3.2240015657038268E-2</v>
      </c>
    </row>
    <row r="957" spans="1:8" x14ac:dyDescent="0.35">
      <c r="A957" s="1">
        <v>44851</v>
      </c>
      <c r="B957">
        <v>141.070007</v>
      </c>
      <c r="C957">
        <v>142.89999399999999</v>
      </c>
      <c r="D957">
        <v>140.270004</v>
      </c>
      <c r="E957">
        <v>142.41000399999999</v>
      </c>
      <c r="F957">
        <v>142.17416399999999</v>
      </c>
      <c r="G957">
        <v>85250900</v>
      </c>
      <c r="H957" s="2">
        <f t="shared" si="14"/>
        <v>2.9122697314543311E-2</v>
      </c>
    </row>
    <row r="958" spans="1:8" x14ac:dyDescent="0.35">
      <c r="A958" s="1">
        <v>44852</v>
      </c>
      <c r="B958">
        <v>145.490005</v>
      </c>
      <c r="C958">
        <v>146.699997</v>
      </c>
      <c r="D958">
        <v>140.61000100000001</v>
      </c>
      <c r="E958">
        <v>143.75</v>
      </c>
      <c r="F958">
        <v>143.511932</v>
      </c>
      <c r="G958">
        <v>99136600</v>
      </c>
      <c r="H958" s="2">
        <f t="shared" si="14"/>
        <v>9.409423231250047E-3</v>
      </c>
    </row>
    <row r="959" spans="1:8" x14ac:dyDescent="0.35">
      <c r="A959" s="1">
        <v>44853</v>
      </c>
      <c r="B959">
        <v>141.69000199999999</v>
      </c>
      <c r="C959">
        <v>144.949997</v>
      </c>
      <c r="D959">
        <v>141.5</v>
      </c>
      <c r="E959">
        <v>143.86000100000001</v>
      </c>
      <c r="F959">
        <v>143.62174999999999</v>
      </c>
      <c r="G959">
        <v>61758300</v>
      </c>
      <c r="H959" s="2">
        <f t="shared" si="14"/>
        <v>7.6522434782622106E-4</v>
      </c>
    </row>
    <row r="960" spans="1:8" x14ac:dyDescent="0.35">
      <c r="A960" s="1">
        <v>44854</v>
      </c>
      <c r="B960">
        <v>143.020004</v>
      </c>
      <c r="C960">
        <v>145.88999899999999</v>
      </c>
      <c r="D960">
        <v>142.64999399999999</v>
      </c>
      <c r="E960">
        <v>143.38999899999999</v>
      </c>
      <c r="F960">
        <v>143.15252699999999</v>
      </c>
      <c r="G960">
        <v>64522000</v>
      </c>
      <c r="H960" s="2">
        <f t="shared" si="14"/>
        <v>-3.2670790819750994E-3</v>
      </c>
    </row>
    <row r="961" spans="1:8" x14ac:dyDescent="0.35">
      <c r="A961" s="1">
        <v>44855</v>
      </c>
      <c r="B961">
        <v>142.86999499999999</v>
      </c>
      <c r="C961">
        <v>147.85000600000001</v>
      </c>
      <c r="D961">
        <v>142.64999399999999</v>
      </c>
      <c r="E961">
        <v>147.270004</v>
      </c>
      <c r="F961">
        <v>147.02610799999999</v>
      </c>
      <c r="G961">
        <v>86548600</v>
      </c>
      <c r="H961" s="2">
        <f t="shared" si="14"/>
        <v>2.7059104728775374E-2</v>
      </c>
    </row>
    <row r="962" spans="1:8" x14ac:dyDescent="0.35">
      <c r="A962" s="1">
        <v>44858</v>
      </c>
      <c r="B962">
        <v>147.19000199999999</v>
      </c>
      <c r="C962">
        <v>150.229996</v>
      </c>
      <c r="D962">
        <v>146</v>
      </c>
      <c r="E962">
        <v>149.449997</v>
      </c>
      <c r="F962">
        <v>149.202484</v>
      </c>
      <c r="G962">
        <v>75981900</v>
      </c>
      <c r="H962" s="2">
        <f t="shared" si="14"/>
        <v>1.4802695326877169E-2</v>
      </c>
    </row>
    <row r="963" spans="1:8" x14ac:dyDescent="0.35">
      <c r="A963" s="1">
        <v>44859</v>
      </c>
      <c r="B963">
        <v>150.08999600000001</v>
      </c>
      <c r="C963">
        <v>152.490005</v>
      </c>
      <c r="D963">
        <v>149.36000100000001</v>
      </c>
      <c r="E963">
        <v>152.33999600000001</v>
      </c>
      <c r="F963">
        <v>152.08770799999999</v>
      </c>
      <c r="G963">
        <v>74732300</v>
      </c>
      <c r="H963" s="2">
        <f t="shared" si="14"/>
        <v>1.9337564790985029E-2</v>
      </c>
    </row>
    <row r="964" spans="1:8" x14ac:dyDescent="0.35">
      <c r="A964" s="1">
        <v>44860</v>
      </c>
      <c r="B964">
        <v>150.96000699999999</v>
      </c>
      <c r="C964">
        <v>151.990005</v>
      </c>
      <c r="D964">
        <v>148.03999300000001</v>
      </c>
      <c r="E964">
        <v>149.35000600000001</v>
      </c>
      <c r="F964">
        <v>149.10266100000001</v>
      </c>
      <c r="G964">
        <v>88194300</v>
      </c>
      <c r="H964" s="2">
        <f t="shared" ref="H964:H1006" si="15">E964/E963-1</f>
        <v>-1.9627084669215811E-2</v>
      </c>
    </row>
    <row r="965" spans="1:8" x14ac:dyDescent="0.35">
      <c r="A965" s="1">
        <v>44861</v>
      </c>
      <c r="B965">
        <v>148.070007</v>
      </c>
      <c r="C965">
        <v>149.050003</v>
      </c>
      <c r="D965">
        <v>144.13000500000001</v>
      </c>
      <c r="E965">
        <v>144.800003</v>
      </c>
      <c r="F965">
        <v>144.56019599999999</v>
      </c>
      <c r="G965">
        <v>109180200</v>
      </c>
      <c r="H965" s="2">
        <f t="shared" si="15"/>
        <v>-3.0465368712472629E-2</v>
      </c>
    </row>
    <row r="966" spans="1:8" x14ac:dyDescent="0.35">
      <c r="A966" s="1">
        <v>44862</v>
      </c>
      <c r="B966">
        <v>148.199997</v>
      </c>
      <c r="C966">
        <v>157.5</v>
      </c>
      <c r="D966">
        <v>147.820007</v>
      </c>
      <c r="E966">
        <v>155.740005</v>
      </c>
      <c r="F966">
        <v>155.48208600000001</v>
      </c>
      <c r="G966">
        <v>164762400</v>
      </c>
      <c r="H966" s="2">
        <f t="shared" si="15"/>
        <v>7.5552498434685811E-2</v>
      </c>
    </row>
    <row r="967" spans="1:8" x14ac:dyDescent="0.35">
      <c r="A967" s="1">
        <v>44865</v>
      </c>
      <c r="B967">
        <v>153.16000399999999</v>
      </c>
      <c r="C967">
        <v>154.240005</v>
      </c>
      <c r="D967">
        <v>151.91999799999999</v>
      </c>
      <c r="E967">
        <v>153.33999600000001</v>
      </c>
      <c r="F967">
        <v>153.08604399999999</v>
      </c>
      <c r="G967">
        <v>97943200</v>
      </c>
      <c r="H967" s="2">
        <f t="shared" si="15"/>
        <v>-1.5410356510518808E-2</v>
      </c>
    </row>
    <row r="968" spans="1:8" x14ac:dyDescent="0.35">
      <c r="A968" s="1">
        <v>44866</v>
      </c>
      <c r="B968">
        <v>155.08000200000001</v>
      </c>
      <c r="C968">
        <v>155.449997</v>
      </c>
      <c r="D968">
        <v>149.13000500000001</v>
      </c>
      <c r="E968">
        <v>150.64999399999999</v>
      </c>
      <c r="F968">
        <v>150.400497</v>
      </c>
      <c r="G968">
        <v>80379300</v>
      </c>
      <c r="H968" s="2">
        <f t="shared" si="15"/>
        <v>-1.7542729034635052E-2</v>
      </c>
    </row>
    <row r="969" spans="1:8" x14ac:dyDescent="0.35">
      <c r="A969" s="1">
        <v>44867</v>
      </c>
      <c r="B969">
        <v>148.949997</v>
      </c>
      <c r="C969">
        <v>152.16999799999999</v>
      </c>
      <c r="D969">
        <v>145</v>
      </c>
      <c r="E969">
        <v>145.029999</v>
      </c>
      <c r="F969">
        <v>144.78980999999999</v>
      </c>
      <c r="G969">
        <v>93604600</v>
      </c>
      <c r="H969" s="2">
        <f t="shared" si="15"/>
        <v>-3.7304979912577974E-2</v>
      </c>
    </row>
    <row r="970" spans="1:8" x14ac:dyDescent="0.35">
      <c r="A970" s="1">
        <v>44868</v>
      </c>
      <c r="B970">
        <v>142.05999800000001</v>
      </c>
      <c r="C970">
        <v>142.800003</v>
      </c>
      <c r="D970">
        <v>138.75</v>
      </c>
      <c r="E970">
        <v>138.88000500000001</v>
      </c>
      <c r="F970">
        <v>138.65000900000001</v>
      </c>
      <c r="G970">
        <v>97918500</v>
      </c>
      <c r="H970" s="2">
        <f t="shared" si="15"/>
        <v>-4.240497857274339E-2</v>
      </c>
    </row>
    <row r="971" spans="1:8" x14ac:dyDescent="0.35">
      <c r="A971" s="1">
        <v>44869</v>
      </c>
      <c r="B971">
        <v>142.08999600000001</v>
      </c>
      <c r="C971">
        <v>142.66999799999999</v>
      </c>
      <c r="D971">
        <v>134.38000500000001</v>
      </c>
      <c r="E971">
        <v>138.38000500000001</v>
      </c>
      <c r="F971">
        <v>138.38000500000001</v>
      </c>
      <c r="G971">
        <v>140814800</v>
      </c>
      <c r="H971" s="2">
        <f t="shared" si="15"/>
        <v>-3.6002302851300128E-3</v>
      </c>
    </row>
    <row r="972" spans="1:8" x14ac:dyDescent="0.35">
      <c r="A972" s="1">
        <v>44872</v>
      </c>
      <c r="B972">
        <v>137.11000100000001</v>
      </c>
      <c r="C972">
        <v>139.14999399999999</v>
      </c>
      <c r="D972">
        <v>135.66999799999999</v>
      </c>
      <c r="E972">
        <v>138.91999799999999</v>
      </c>
      <c r="F972">
        <v>138.91999799999999</v>
      </c>
      <c r="G972">
        <v>83374600</v>
      </c>
      <c r="H972" s="2">
        <f t="shared" si="15"/>
        <v>3.9022472936027786E-3</v>
      </c>
    </row>
    <row r="973" spans="1:8" x14ac:dyDescent="0.35">
      <c r="A973" s="1">
        <v>44873</v>
      </c>
      <c r="B973">
        <v>140.41000399999999</v>
      </c>
      <c r="C973">
        <v>141.429993</v>
      </c>
      <c r="D973">
        <v>137.490005</v>
      </c>
      <c r="E973">
        <v>139.5</v>
      </c>
      <c r="F973">
        <v>139.5</v>
      </c>
      <c r="G973">
        <v>89908500</v>
      </c>
      <c r="H973" s="2">
        <f t="shared" si="15"/>
        <v>4.1750792423709271E-3</v>
      </c>
    </row>
    <row r="974" spans="1:8" x14ac:dyDescent="0.35">
      <c r="A974" s="1">
        <v>44874</v>
      </c>
      <c r="B974">
        <v>138.5</v>
      </c>
      <c r="C974">
        <v>138.550003</v>
      </c>
      <c r="D974">
        <v>134.58999600000001</v>
      </c>
      <c r="E974">
        <v>134.86999499999999</v>
      </c>
      <c r="F974">
        <v>134.86999499999999</v>
      </c>
      <c r="G974">
        <v>74917800</v>
      </c>
      <c r="H974" s="2">
        <f t="shared" si="15"/>
        <v>-3.3190000000000053E-2</v>
      </c>
    </row>
    <row r="975" spans="1:8" x14ac:dyDescent="0.35">
      <c r="A975" s="1">
        <v>44875</v>
      </c>
      <c r="B975">
        <v>141.240005</v>
      </c>
      <c r="C975">
        <v>146.86999499999999</v>
      </c>
      <c r="D975">
        <v>139.5</v>
      </c>
      <c r="E975">
        <v>146.86999499999999</v>
      </c>
      <c r="F975">
        <v>146.86999499999999</v>
      </c>
      <c r="G975">
        <v>118854000</v>
      </c>
      <c r="H975" s="2">
        <f t="shared" si="15"/>
        <v>8.8974571401148284E-2</v>
      </c>
    </row>
    <row r="976" spans="1:8" x14ac:dyDescent="0.35">
      <c r="A976" s="1">
        <v>44876</v>
      </c>
      <c r="B976">
        <v>145.820007</v>
      </c>
      <c r="C976">
        <v>150.009995</v>
      </c>
      <c r="D976">
        <v>144.36999499999999</v>
      </c>
      <c r="E976">
        <v>149.699997</v>
      </c>
      <c r="F976">
        <v>149.699997</v>
      </c>
      <c r="G976">
        <v>93979700</v>
      </c>
      <c r="H976" s="2">
        <f t="shared" si="15"/>
        <v>1.9268755336990351E-2</v>
      </c>
    </row>
    <row r="977" spans="1:8" x14ac:dyDescent="0.35">
      <c r="A977" s="1">
        <v>44879</v>
      </c>
      <c r="B977">
        <v>148.970001</v>
      </c>
      <c r="C977">
        <v>150.279999</v>
      </c>
      <c r="D977">
        <v>147.429993</v>
      </c>
      <c r="E977">
        <v>148.279999</v>
      </c>
      <c r="F977">
        <v>148.279999</v>
      </c>
      <c r="G977">
        <v>73374100</v>
      </c>
      <c r="H977" s="2">
        <f t="shared" si="15"/>
        <v>-9.4856247725909615E-3</v>
      </c>
    </row>
    <row r="978" spans="1:8" x14ac:dyDescent="0.35">
      <c r="A978" s="1">
        <v>44880</v>
      </c>
      <c r="B978">
        <v>152.220001</v>
      </c>
      <c r="C978">
        <v>153.58999600000001</v>
      </c>
      <c r="D978">
        <v>148.55999800000001</v>
      </c>
      <c r="E978">
        <v>150.03999300000001</v>
      </c>
      <c r="F978">
        <v>150.03999300000001</v>
      </c>
      <c r="G978">
        <v>89868300</v>
      </c>
      <c r="H978" s="2">
        <f t="shared" si="15"/>
        <v>1.1869395817840633E-2</v>
      </c>
    </row>
    <row r="979" spans="1:8" x14ac:dyDescent="0.35">
      <c r="A979" s="1">
        <v>44881</v>
      </c>
      <c r="B979">
        <v>149.13000500000001</v>
      </c>
      <c r="C979">
        <v>149.86999499999999</v>
      </c>
      <c r="D979">
        <v>147.28999300000001</v>
      </c>
      <c r="E979">
        <v>148.78999300000001</v>
      </c>
      <c r="F979">
        <v>148.78999300000001</v>
      </c>
      <c r="G979">
        <v>64218300</v>
      </c>
      <c r="H979" s="2">
        <f t="shared" si="15"/>
        <v>-8.3311120922272552E-3</v>
      </c>
    </row>
    <row r="980" spans="1:8" x14ac:dyDescent="0.35">
      <c r="A980" s="1">
        <v>44882</v>
      </c>
      <c r="B980">
        <v>146.429993</v>
      </c>
      <c r="C980">
        <v>151.479996</v>
      </c>
      <c r="D980">
        <v>146.14999399999999</v>
      </c>
      <c r="E980">
        <v>150.720001</v>
      </c>
      <c r="F980">
        <v>150.720001</v>
      </c>
      <c r="G980">
        <v>80389400</v>
      </c>
      <c r="H980" s="2">
        <f t="shared" si="15"/>
        <v>1.2971356212107432E-2</v>
      </c>
    </row>
    <row r="981" spans="1:8" x14ac:dyDescent="0.35">
      <c r="A981" s="1">
        <v>44883</v>
      </c>
      <c r="B981">
        <v>152.30999800000001</v>
      </c>
      <c r="C981">
        <v>152.699997</v>
      </c>
      <c r="D981">
        <v>149.970001</v>
      </c>
      <c r="E981">
        <v>151.28999300000001</v>
      </c>
      <c r="F981">
        <v>151.28999300000001</v>
      </c>
      <c r="G981">
        <v>74829600</v>
      </c>
      <c r="H981" s="2">
        <f t="shared" si="15"/>
        <v>3.7817940301103636E-3</v>
      </c>
    </row>
    <row r="982" spans="1:8" x14ac:dyDescent="0.35">
      <c r="A982" s="1">
        <v>44886</v>
      </c>
      <c r="B982">
        <v>150.16000399999999</v>
      </c>
      <c r="C982">
        <v>150.36999499999999</v>
      </c>
      <c r="D982">
        <v>147.720001</v>
      </c>
      <c r="E982">
        <v>148.009995</v>
      </c>
      <c r="F982">
        <v>148.009995</v>
      </c>
      <c r="G982">
        <v>58724100</v>
      </c>
      <c r="H982" s="2">
        <f t="shared" si="15"/>
        <v>-2.1680204585639795E-2</v>
      </c>
    </row>
    <row r="983" spans="1:8" x14ac:dyDescent="0.35">
      <c r="A983" s="1">
        <v>44887</v>
      </c>
      <c r="B983">
        <v>148.13000500000001</v>
      </c>
      <c r="C983">
        <v>150.41999799999999</v>
      </c>
      <c r="D983">
        <v>146.929993</v>
      </c>
      <c r="E983">
        <v>150.179993</v>
      </c>
      <c r="F983">
        <v>150.179993</v>
      </c>
      <c r="G983">
        <v>51804100</v>
      </c>
      <c r="H983" s="2">
        <f t="shared" si="15"/>
        <v>1.4661158525138829E-2</v>
      </c>
    </row>
    <row r="984" spans="1:8" x14ac:dyDescent="0.35">
      <c r="A984" s="1">
        <v>44888</v>
      </c>
      <c r="B984">
        <v>149.449997</v>
      </c>
      <c r="C984">
        <v>151.83000200000001</v>
      </c>
      <c r="D984">
        <v>149.33999600000001</v>
      </c>
      <c r="E984">
        <v>151.070007</v>
      </c>
      <c r="F984">
        <v>151.070007</v>
      </c>
      <c r="G984">
        <v>58301400</v>
      </c>
      <c r="H984" s="2">
        <f t="shared" si="15"/>
        <v>5.9263153647903799E-3</v>
      </c>
    </row>
    <row r="985" spans="1:8" x14ac:dyDescent="0.35">
      <c r="A985" s="1">
        <v>44890</v>
      </c>
      <c r="B985">
        <v>148.30999800000001</v>
      </c>
      <c r="C985">
        <v>148.88000500000001</v>
      </c>
      <c r="D985">
        <v>147.11999499999999</v>
      </c>
      <c r="E985">
        <v>148.11000100000001</v>
      </c>
      <c r="F985">
        <v>148.11000100000001</v>
      </c>
      <c r="G985">
        <v>35195900</v>
      </c>
      <c r="H985" s="2">
        <f t="shared" si="15"/>
        <v>-1.9593604705399836E-2</v>
      </c>
    </row>
    <row r="986" spans="1:8" x14ac:dyDescent="0.35">
      <c r="A986" s="1">
        <v>44893</v>
      </c>
      <c r="B986">
        <v>145.13999899999999</v>
      </c>
      <c r="C986">
        <v>146.63999899999999</v>
      </c>
      <c r="D986">
        <v>143.38000500000001</v>
      </c>
      <c r="E986">
        <v>144.220001</v>
      </c>
      <c r="F986">
        <v>144.220001</v>
      </c>
      <c r="G986">
        <v>69246000</v>
      </c>
      <c r="H986" s="2">
        <f t="shared" si="15"/>
        <v>-2.6264262870405508E-2</v>
      </c>
    </row>
    <row r="987" spans="1:8" x14ac:dyDescent="0.35">
      <c r="A987" s="1">
        <v>44894</v>
      </c>
      <c r="B987">
        <v>144.28999300000001</v>
      </c>
      <c r="C987">
        <v>144.80999800000001</v>
      </c>
      <c r="D987">
        <v>140.35000600000001</v>
      </c>
      <c r="E987">
        <v>141.16999799999999</v>
      </c>
      <c r="F987">
        <v>141.16999799999999</v>
      </c>
      <c r="G987">
        <v>83763800</v>
      </c>
      <c r="H987" s="2">
        <f t="shared" si="15"/>
        <v>-2.114826639059586E-2</v>
      </c>
    </row>
    <row r="988" spans="1:8" x14ac:dyDescent="0.35">
      <c r="A988" s="1">
        <v>44895</v>
      </c>
      <c r="B988">
        <v>141.39999399999999</v>
      </c>
      <c r="C988">
        <v>148.720001</v>
      </c>
      <c r="D988">
        <v>140.550003</v>
      </c>
      <c r="E988">
        <v>148.029999</v>
      </c>
      <c r="F988">
        <v>148.029999</v>
      </c>
      <c r="G988">
        <v>111224400</v>
      </c>
      <c r="H988" s="2">
        <f t="shared" si="15"/>
        <v>4.8593901658906313E-2</v>
      </c>
    </row>
    <row r="989" spans="1:8" x14ac:dyDescent="0.35">
      <c r="A989" s="1">
        <v>44896</v>
      </c>
      <c r="B989">
        <v>148.21000699999999</v>
      </c>
      <c r="C989">
        <v>149.13000500000001</v>
      </c>
      <c r="D989">
        <v>146.61000100000001</v>
      </c>
      <c r="E989">
        <v>148.30999800000001</v>
      </c>
      <c r="F989">
        <v>148.30999800000001</v>
      </c>
      <c r="G989">
        <v>71250400</v>
      </c>
      <c r="H989" s="2">
        <f t="shared" si="15"/>
        <v>1.8915017354015351E-3</v>
      </c>
    </row>
    <row r="990" spans="1:8" x14ac:dyDescent="0.35">
      <c r="A990" s="1">
        <v>44897</v>
      </c>
      <c r="B990">
        <v>145.96000699999999</v>
      </c>
      <c r="C990">
        <v>148</v>
      </c>
      <c r="D990">
        <v>145.64999399999999</v>
      </c>
      <c r="E990">
        <v>147.80999800000001</v>
      </c>
      <c r="F990">
        <v>147.80999800000001</v>
      </c>
      <c r="G990">
        <v>65421400</v>
      </c>
      <c r="H990" s="2">
        <f t="shared" si="15"/>
        <v>-3.3713168818193529E-3</v>
      </c>
    </row>
    <row r="991" spans="1:8" x14ac:dyDescent="0.35">
      <c r="A991" s="1">
        <v>44900</v>
      </c>
      <c r="B991">
        <v>147.770004</v>
      </c>
      <c r="C991">
        <v>150.91999799999999</v>
      </c>
      <c r="D991">
        <v>145.770004</v>
      </c>
      <c r="E991">
        <v>146.63000500000001</v>
      </c>
      <c r="F991">
        <v>146.63000500000001</v>
      </c>
      <c r="G991">
        <v>68826400</v>
      </c>
      <c r="H991" s="2">
        <f t="shared" si="15"/>
        <v>-7.9831744534628601E-3</v>
      </c>
    </row>
    <row r="992" spans="1:8" x14ac:dyDescent="0.35">
      <c r="A992" s="1">
        <v>44901</v>
      </c>
      <c r="B992">
        <v>147.070007</v>
      </c>
      <c r="C992">
        <v>147.300003</v>
      </c>
      <c r="D992">
        <v>141.91999799999999</v>
      </c>
      <c r="E992">
        <v>142.91000399999999</v>
      </c>
      <c r="F992">
        <v>142.91000399999999</v>
      </c>
      <c r="G992">
        <v>64727200</v>
      </c>
      <c r="H992" s="2">
        <f t="shared" si="15"/>
        <v>-2.5369984813135793E-2</v>
      </c>
    </row>
    <row r="993" spans="1:8" x14ac:dyDescent="0.35">
      <c r="A993" s="1">
        <v>44902</v>
      </c>
      <c r="B993">
        <v>142.19000199999999</v>
      </c>
      <c r="C993">
        <v>143.36999499999999</v>
      </c>
      <c r="D993">
        <v>140</v>
      </c>
      <c r="E993">
        <v>140.94000199999999</v>
      </c>
      <c r="F993">
        <v>140.94000199999999</v>
      </c>
      <c r="G993">
        <v>69721100</v>
      </c>
      <c r="H993" s="2">
        <f t="shared" si="15"/>
        <v>-1.3784913196139836E-2</v>
      </c>
    </row>
    <row r="994" spans="1:8" x14ac:dyDescent="0.35">
      <c r="A994" s="1">
        <v>44903</v>
      </c>
      <c r="B994">
        <v>142.36000100000001</v>
      </c>
      <c r="C994">
        <v>143.520004</v>
      </c>
      <c r="D994">
        <v>141.10000600000001</v>
      </c>
      <c r="E994">
        <v>142.64999399999999</v>
      </c>
      <c r="F994">
        <v>142.64999399999999</v>
      </c>
      <c r="G994">
        <v>62128300</v>
      </c>
      <c r="H994" s="2">
        <f t="shared" si="15"/>
        <v>1.2132765543738211E-2</v>
      </c>
    </row>
    <row r="995" spans="1:8" x14ac:dyDescent="0.35">
      <c r="A995" s="1">
        <v>44904</v>
      </c>
      <c r="B995">
        <v>142.33999600000001</v>
      </c>
      <c r="C995">
        <v>145.570007</v>
      </c>
      <c r="D995">
        <v>140.89999399999999</v>
      </c>
      <c r="E995">
        <v>142.16000399999999</v>
      </c>
      <c r="F995">
        <v>142.16000399999999</v>
      </c>
      <c r="G995">
        <v>76069500</v>
      </c>
      <c r="H995" s="2">
        <f t="shared" si="15"/>
        <v>-3.434910764875343E-3</v>
      </c>
    </row>
    <row r="996" spans="1:8" x14ac:dyDescent="0.35">
      <c r="A996" s="1">
        <v>44907</v>
      </c>
      <c r="B996">
        <v>142.699997</v>
      </c>
      <c r="C996">
        <v>144.5</v>
      </c>
      <c r="D996">
        <v>141.05999800000001</v>
      </c>
      <c r="E996">
        <v>144.490005</v>
      </c>
      <c r="F996">
        <v>144.490005</v>
      </c>
      <c r="G996">
        <v>70462700</v>
      </c>
      <c r="H996" s="2">
        <f t="shared" si="15"/>
        <v>1.6389989690771323E-2</v>
      </c>
    </row>
    <row r="997" spans="1:8" x14ac:dyDescent="0.35">
      <c r="A997" s="1">
        <v>44908</v>
      </c>
      <c r="B997">
        <v>149.5</v>
      </c>
      <c r="C997">
        <v>149.970001</v>
      </c>
      <c r="D997">
        <v>144.240005</v>
      </c>
      <c r="E997">
        <v>145.470001</v>
      </c>
      <c r="F997">
        <v>145.470001</v>
      </c>
      <c r="G997">
        <v>93886200</v>
      </c>
      <c r="H997" s="2">
        <f t="shared" si="15"/>
        <v>6.7824483776577349E-3</v>
      </c>
    </row>
    <row r="998" spans="1:8" x14ac:dyDescent="0.35">
      <c r="A998" s="1">
        <v>44909</v>
      </c>
      <c r="B998">
        <v>145.35000600000001</v>
      </c>
      <c r="C998">
        <v>146.66000399999999</v>
      </c>
      <c r="D998">
        <v>141.16000399999999</v>
      </c>
      <c r="E998">
        <v>143.21000699999999</v>
      </c>
      <c r="F998">
        <v>143.21000699999999</v>
      </c>
      <c r="G998">
        <v>82291200</v>
      </c>
      <c r="H998" s="2">
        <f t="shared" si="15"/>
        <v>-1.5535807963595216E-2</v>
      </c>
    </row>
    <row r="999" spans="1:8" x14ac:dyDescent="0.35">
      <c r="A999" s="1">
        <v>44910</v>
      </c>
      <c r="B999">
        <v>141.11000100000001</v>
      </c>
      <c r="C999">
        <v>141.800003</v>
      </c>
      <c r="D999">
        <v>136.029999</v>
      </c>
      <c r="E999">
        <v>136.5</v>
      </c>
      <c r="F999">
        <v>136.5</v>
      </c>
      <c r="G999">
        <v>98931900</v>
      </c>
      <c r="H999" s="2">
        <f t="shared" si="15"/>
        <v>-4.6854316542279006E-2</v>
      </c>
    </row>
    <row r="1000" spans="1:8" x14ac:dyDescent="0.35">
      <c r="A1000" s="1">
        <v>44911</v>
      </c>
      <c r="B1000">
        <v>136.69000199999999</v>
      </c>
      <c r="C1000">
        <v>137.64999399999999</v>
      </c>
      <c r="D1000">
        <v>133.729996</v>
      </c>
      <c r="E1000">
        <v>134.509995</v>
      </c>
      <c r="F1000">
        <v>134.509995</v>
      </c>
      <c r="G1000">
        <v>160080100</v>
      </c>
      <c r="H1000" s="2">
        <f t="shared" si="15"/>
        <v>-1.4578791208791131E-2</v>
      </c>
    </row>
    <row r="1001" spans="1:8" x14ac:dyDescent="0.35">
      <c r="A1001" s="1">
        <v>44914</v>
      </c>
      <c r="B1001">
        <v>135.11000100000001</v>
      </c>
      <c r="C1001">
        <v>135.199997</v>
      </c>
      <c r="D1001">
        <v>131.320007</v>
      </c>
      <c r="E1001">
        <v>132.36999499999999</v>
      </c>
      <c r="F1001">
        <v>132.36999499999999</v>
      </c>
      <c r="G1001">
        <v>79592600</v>
      </c>
      <c r="H1001" s="2">
        <f t="shared" si="15"/>
        <v>-1.5909598390811186E-2</v>
      </c>
    </row>
    <row r="1002" spans="1:8" x14ac:dyDescent="0.35">
      <c r="A1002" s="1">
        <v>44915</v>
      </c>
      <c r="B1002">
        <v>131.38999899999999</v>
      </c>
      <c r="C1002">
        <v>133.25</v>
      </c>
      <c r="D1002">
        <v>129.88999899999999</v>
      </c>
      <c r="E1002">
        <v>132.300003</v>
      </c>
      <c r="F1002">
        <v>132.300003</v>
      </c>
      <c r="G1002">
        <v>77432800</v>
      </c>
      <c r="H1002" s="2">
        <f t="shared" si="15"/>
        <v>-5.2876031309045946E-4</v>
      </c>
    </row>
    <row r="1003" spans="1:8" x14ac:dyDescent="0.35">
      <c r="A1003" s="1">
        <v>44916</v>
      </c>
      <c r="B1003">
        <v>132.979996</v>
      </c>
      <c r="C1003">
        <v>136.80999800000001</v>
      </c>
      <c r="D1003">
        <v>132.75</v>
      </c>
      <c r="E1003">
        <v>135.449997</v>
      </c>
      <c r="F1003">
        <v>135.449997</v>
      </c>
      <c r="G1003">
        <v>85928000</v>
      </c>
      <c r="H1003" s="2">
        <f t="shared" si="15"/>
        <v>2.3809477918152355E-2</v>
      </c>
    </row>
    <row r="1004" spans="1:8" x14ac:dyDescent="0.35">
      <c r="A1004" s="1">
        <v>44917</v>
      </c>
      <c r="B1004">
        <v>134.35000600000001</v>
      </c>
      <c r="C1004">
        <v>134.55999800000001</v>
      </c>
      <c r="D1004">
        <v>130.300003</v>
      </c>
      <c r="E1004">
        <v>132.229996</v>
      </c>
      <c r="F1004">
        <v>132.229996</v>
      </c>
      <c r="G1004">
        <v>77852100</v>
      </c>
      <c r="H1004" s="2">
        <f t="shared" si="15"/>
        <v>-2.3772617728444856E-2</v>
      </c>
    </row>
    <row r="1005" spans="1:8" x14ac:dyDescent="0.35">
      <c r="A1005" s="1">
        <v>44918</v>
      </c>
      <c r="B1005">
        <v>130.91999799999999</v>
      </c>
      <c r="C1005">
        <v>132.41999799999999</v>
      </c>
      <c r="D1005">
        <v>129.63999899999999</v>
      </c>
      <c r="E1005">
        <v>131.86000100000001</v>
      </c>
      <c r="F1005">
        <v>131.86000100000001</v>
      </c>
      <c r="G1005">
        <v>63771000</v>
      </c>
      <c r="H1005" s="2">
        <f t="shared" si="15"/>
        <v>-2.798117002136058E-3</v>
      </c>
    </row>
    <row r="1006" spans="1:8" x14ac:dyDescent="0.35">
      <c r="A1006" s="1">
        <v>44922</v>
      </c>
      <c r="B1006">
        <v>131.38000500000001</v>
      </c>
      <c r="C1006">
        <v>131.41000399999999</v>
      </c>
      <c r="D1006">
        <v>128.720001</v>
      </c>
      <c r="E1006">
        <v>130.029999</v>
      </c>
      <c r="F1006">
        <v>130.029999</v>
      </c>
      <c r="G1006">
        <v>68927300</v>
      </c>
      <c r="H1006" s="2">
        <f t="shared" si="15"/>
        <v>-1.3878370894294223E-2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2</vt:i4>
      </vt:variant>
    </vt:vector>
  </HeadingPairs>
  <TitlesOfParts>
    <vt:vector size="4" baseType="lpstr">
      <vt:lpstr>META</vt:lpstr>
      <vt:lpstr>AAPL</vt:lpstr>
      <vt:lpstr>Apple Visualizations</vt:lpstr>
      <vt:lpstr>Meta Visualizations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Nidhee Patil</dc:creator>
  <cp:lastModifiedBy>LENOVO</cp:lastModifiedBy>
  <dcterms:created xsi:type="dcterms:W3CDTF">2022-12-28T17:48:25Z</dcterms:created>
  <dcterms:modified xsi:type="dcterms:W3CDTF">2022-12-28T21:11:35Z</dcterms:modified>
</cp:coreProperties>
</file>